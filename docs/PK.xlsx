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38 súng chưa có quy tắc" sheetId="2" state="visible" r:id="rId2"/>
    <sheet xmlns:r="http://schemas.openxmlformats.org/officeDocument/2006/relationships" name="Đối chiếu 30 súng trong bảng" sheetId="3" state="visible" r:id="rId3"/>
    <sheet xmlns:r="http://schemas.openxmlformats.org/officeDocument/2006/relationships" name="Chính thức 和平精英 (45 súng)" sheetId="4" state="visible" r:id="rId4"/>
    <sheet xmlns:r="http://schemas.openxmlformats.org/officeDocument/2006/relationships" name="Phụ kiện → súng (chính thức)" sheetId="5" state="visible" r:id="rId5"/>
    <sheet xmlns:r="http://schemas.openxmlformats.org/officeDocument/2006/relationships" name="AppMedia (toàn cầu 2022)" sheetId="6" state="visible" r:id="rId6"/>
    <sheet xmlns:r="http://schemas.openxmlformats.org/officeDocument/2006/relationships" name="Nguồn" sheetId="7" state="visible" r:id="rId7"/>
    <sheet xmlns:r="http://schemas.openxmlformats.org/officeDocument/2006/relationships" name="Ghi chú và giả định" sheetId="8" state="visible" r:id="rId8"/>
  </sheets>
  <definedNames>
    <definedName name="_xlnm._FilterDatabase" localSheetId="1" hidden="1">'38 súng chưa có quy tắc'!$A$4:$Q$42</definedName>
    <definedName name="_xlnm._FilterDatabase" localSheetId="2" hidden="1">'Đối chiếu 30 súng trong bảng'!$A$4:$Q$34</definedName>
    <definedName name="_xlnm._FilterDatabase" localSheetId="3" hidden="1">'Chính thức 和平精英 (45 súng)'!$A$4:$O$49</definedName>
    <definedName name="_xlnm._FilterDatabase" localSheetId="4" hidden="1">'Phụ kiện → súng (chính thức)'!$A$4:$F$48</definedName>
    <definedName name="_xlnm._FilterDatabase" localSheetId="5" hidden="1">'AppMedia (toàn cầu 2022)'!$A$4:$H$51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sz val="10"/>
    </font>
    <font>
      <name val="Arial"/>
      <b val="1"/>
      <sz val="11"/>
    </font>
  </fonts>
  <fills count="9">
    <fill>
      <patternFill/>
    </fill>
    <fill>
      <patternFill patternType="gray125"/>
    </fill>
    <fill>
      <patternFill patternType="solid">
        <fgColor rgb="001F3864"/>
      </patternFill>
    </fill>
    <fill>
      <patternFill patternType="solid">
        <fgColor rgb="00EDEDED"/>
      </patternFill>
    </fill>
    <fill>
      <patternFill patternType="solid">
        <fgColor rgb="00C6EFCE"/>
      </patternFill>
    </fill>
    <fill>
      <patternFill patternType="solid">
        <fgColor rgb="00FFEB9C"/>
      </patternFill>
    </fill>
    <fill>
      <patternFill patternType="solid">
        <fgColor rgb="00D9D9D9"/>
      </patternFill>
    </fill>
    <fill>
      <patternFill patternType="solid">
        <fgColor rgb="00F8CBAD"/>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5" fillId="8" borderId="0" pivotButton="0" quotePrefix="0" xfId="0"/>
    <xf numFmtId="0" fontId="4" fillId="0" borderId="0" pivotButton="0" quotePrefix="0" xfId="0"/>
    <xf numFmtId="0" fontId="4" fillId="0" borderId="0" applyAlignment="1" pivotButton="0" quotePrefix="0" xfId="0">
      <alignment horizontal="center"/>
    </xf>
    <xf numFmtId="0" fontId="6"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dxfs count="2">
    <dxf>
      <font>
        <name val="Arial"/>
        <b val="1"/>
        <color rgb="009C0006"/>
      </font>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33"/>
  <sheetViews>
    <sheetView showGridLines="0" workbookViewId="0">
      <selection activeCell="A1" sqref="A1"/>
    </sheetView>
  </sheetViews>
  <sheetFormatPr baseColWidth="8" defaultRowHeight="15"/>
  <cols>
    <col width="62" customWidth="1" min="1" max="1"/>
    <col width="16" customWidth="1" min="2" max="2"/>
    <col width="80" customWidth="1" min="3" max="3"/>
  </cols>
  <sheetData>
    <row r="1">
      <c r="A1" s="1" t="inlineStr">
        <is>
          <t>Phụ kiện từng súng PUBG Mobile / 和平精英: tra cứu cho 38 mã súng chưa có quy tắc</t>
        </is>
      </c>
    </row>
    <row r="2">
      <c r="A2" s="2" t="inlineStr">
        <is>
          <t>Lập ngày 14/10/2026. Gồm đối chiếu 30 súng trong bảng của bạn với dữ liệu chính thức của Tencent. Chưa áp dụng vào app.</t>
        </is>
      </c>
    </row>
    <row r="4">
      <c r="A4" s="3" t="inlineStr">
        <is>
          <t>Số liệu (tính bằng công thức từ các sheet bên cạnh)</t>
        </is>
      </c>
      <c r="B4" s="3" t="n"/>
      <c r="C4" s="3" t="n"/>
    </row>
    <row r="5">
      <c r="A5" s="4" t="inlineStr">
        <is>
          <t>Tổng số mã súng trong app</t>
        </is>
      </c>
      <c r="B5" s="5" t="n">
        <v>68</v>
      </c>
      <c r="C5" s="4" t="inlineStr">
        <is>
          <t>Danh sách WEAPONS của app</t>
        </is>
      </c>
    </row>
    <row r="6">
      <c r="A6" s="4" t="inlineStr">
        <is>
          <t>Mã đã có quy tắc (bảng của bạn)</t>
        </is>
      </c>
      <c r="B6" s="5">
        <f>COUNTA('Đối chiếu 30 súng trong bảng'!A5:A34)</f>
        <v>30</v>
      </c>
      <c r="C6" s="4" t="n"/>
    </row>
    <row r="7">
      <c r="A7" s="4" t="inlineStr">
        <is>
          <t>Mã chưa có quy tắc (tra cứu trong file này)</t>
        </is>
      </c>
      <c r="B7" s="5">
        <f>COUNTA('38 súng chưa có quy tắc'!B5:B42)</f>
        <v>38</v>
      </c>
      <c r="C7" s="4" t="n"/>
    </row>
    <row r="8">
      <c r="A8" s="4" t="inlineStr">
        <is>
          <t xml:space="preserve">   độ tin cậy Cao</t>
        </is>
      </c>
      <c r="B8" s="5">
        <f>COUNTIF('38 súng chưa có quy tắc'!E5:E42,"Cao")</f>
        <v>5</v>
      </c>
      <c r="C8" s="4" t="inlineStr">
        <is>
          <t>Dữ liệu chính thức 和平精英 (kiểm chứng chéo khi có)</t>
        </is>
      </c>
    </row>
    <row r="9">
      <c r="A9" s="4" t="inlineStr">
        <is>
          <t xml:space="preserve">   độ tin cậy Trung bình</t>
        </is>
      </c>
      <c r="B9" s="5">
        <f>COUNTIF('38 súng chưa có quy tắc'!E5:E42,"Trung bình")</f>
        <v>6</v>
      </c>
      <c r="C9" s="4" t="inlineStr">
        <is>
          <t>Nguồn thứ cấp bản toàn cầu hoặc có mâu thuẫn</t>
        </is>
      </c>
    </row>
    <row r="10">
      <c r="A10" s="4" t="inlineStr">
        <is>
          <t xml:space="preserve">   độ tin cậy Thấp</t>
        </is>
      </c>
      <c r="B10" s="5">
        <f>COUNTIF('38 súng chưa có quy tắc'!E5:E42,"Thấp")</f>
        <v>2</v>
      </c>
      <c r="C10" s="4" t="inlineStr">
        <is>
          <t>Bài trước phát hành hoặc bản PC</t>
        </is>
      </c>
    </row>
    <row r="11">
      <c r="A11" s="4" t="inlineStr">
        <is>
          <t xml:space="preserve">   Chưa tìm thấy nguồn</t>
        </is>
      </c>
      <c r="B11" s="5">
        <f>COUNTIF('38 súng chưa có quy tắc'!E5:E42,"Chưa tìm thấy")</f>
        <v>22</v>
      </c>
      <c r="C11" s="4" t="inlineStr">
        <is>
          <t>Cần nguồn khác hoặc kiểm tra trong game</t>
        </is>
      </c>
    </row>
    <row r="12">
      <c r="A12" s="4" t="inlineStr">
        <is>
          <t xml:space="preserve">   Không phải súng</t>
        </is>
      </c>
      <c r="B12" s="5">
        <f>COUNTIF('38 súng chưa có quy tắc'!E5:E42,"Không áp dụng")</f>
        <v>3</v>
      </c>
      <c r="C12" s="4" t="inlineStr">
        <is>
          <t>Empty, SHIELD, MORTAR</t>
        </is>
      </c>
    </row>
    <row r="13">
      <c r="A13" s="4" t="inlineStr">
        <is>
          <t>Mã có đề xuất áp dụng được ngay</t>
        </is>
      </c>
      <c r="B13" s="5">
        <f>COUNTIF('38 súng chưa có quy tắc'!O5:O42,"Áp dụng được")</f>
        <v>5</v>
      </c>
      <c r="C13" s="4" t="inlineStr">
        <is>
          <t>Dữ liệu chính thức, kiểm chứng chéo</t>
        </is>
      </c>
    </row>
    <row r="14">
      <c r="A14" s="4" t="inlineStr">
        <is>
          <t>Mã có đề xuất nhưng cần bạn xác nhận</t>
        </is>
      </c>
      <c r="B14" s="5">
        <f>COUNTIF('38 súng chưa có quy tắc'!O5:O42,"Cần xác nhận")</f>
        <v>6</v>
      </c>
      <c r="C14" s="4" t="inlineStr">
        <is>
          <t>Một nguồn hoặc nguồn mâu thuẫn</t>
        </is>
      </c>
    </row>
    <row r="15">
      <c r="A15" s="4" t="inlineStr">
        <is>
          <t>Ô khác biệt giữa bảng của bạn và dữ liệu chính thức: nòng</t>
        </is>
      </c>
      <c r="B15" s="5">
        <f>COUNTIF('Đối chiếu 30 súng trong bảng'!L5:L34,"KHÁC")</f>
        <v>2</v>
      </c>
      <c r="C15" s="4" t="inlineStr">
        <is>
          <t>Sheet "Đối chiếu 30 súng trong bảng", cột L</t>
        </is>
      </c>
    </row>
    <row r="16">
      <c r="A16" s="4" t="inlineStr">
        <is>
          <t xml:space="preserve">   tay cầm</t>
        </is>
      </c>
      <c r="B16" s="5">
        <f>COUNTIF('Đối chiếu 30 súng trong bảng'!M5:M34,"KHÁC")</f>
        <v>13</v>
      </c>
      <c r="C16" s="4" t="inlineStr">
        <is>
          <t>cột M</t>
        </is>
      </c>
    </row>
    <row r="17">
      <c r="A17" s="4" t="inlineStr">
        <is>
          <t xml:space="preserve">   báng</t>
        </is>
      </c>
      <c r="B17" s="5">
        <f>COUNTIF('Đối chiếu 30 súng trong bảng'!N5:N34,"KHÁC")</f>
        <v>2</v>
      </c>
      <c r="C17" s="4" t="inlineStr">
        <is>
          <t>cột N</t>
        </is>
      </c>
    </row>
    <row r="18">
      <c r="A18" s="4" t="inlineStr">
        <is>
          <t xml:space="preserve">   ống ngắm</t>
        </is>
      </c>
      <c r="B18" s="5">
        <f>COUNTIF('Đối chiếu 30 súng trong bảng'!O5:O34,"KHÁC")</f>
        <v>3</v>
      </c>
      <c r="C18" s="4" t="inlineStr">
        <is>
          <t>cột O</t>
        </is>
      </c>
    </row>
    <row r="20">
      <c r="A20" s="6" t="inlineStr">
        <is>
          <t>Phát hiện chính</t>
        </is>
      </c>
    </row>
    <row r="21" ht="48" customHeight="1">
      <c r="A21" s="7" t="inlineStr">
        <is>
          <t>Có dữ liệu chính thức của Tencent cho 45 vũ khí 和平精英, trong đó 33 súng khớp mã của app (30 trong bảng của bạn: 27; cộng 6 súng chưa có quy tắc: CrossBow, MG3, M249, DBS, Bison, Win94).</t>
        </is>
      </c>
    </row>
    <row r="22" ht="48" customHeight="1">
      <c r="A22" s="7" t="inlineStr">
        <is>
          <t>Trong 38 mã chưa có quy tắc: 6 có dữ liệu chính thức (5 mức Cao; M249 mức Trung bình vì các phiên bản game mâu thuẫn), 4 có nguồn thứ cấp (Mosin, M1014, MP5K, P90), AMR (nguồn thứ cấp: chỉ một khe ống ngắm), M417 và JS9 chỉ có rất ít thông tin, 3 không phải súng, 22 chưa tìm được nguồn đáng tin.</t>
        </is>
      </c>
    </row>
    <row r="23" ht="48" customHeight="1">
      <c r="A23" s="7" t="inlineStr">
        <is>
          <t>Bảng của bạn có khác biệt với dữ liệu chính thức ở nhiều súng (xem sheet "Đối chiếu 30 súng trong bảng", ô đỏ): ví dụ Groza chỉ gắn nòng giảm thanh; Mk47 và M16A4 gắn được báng chiến thuật; Tommy Gun gắn được tay cầm đứng; Vector không có tay cầm tam giác/ngón cái; SLR và Mk14 không có tay cầm; VSS không có nòng và không lắp ống ngắm; hầu hết súng có tay cầm đều gắn thêm được Laser.</t>
        </is>
      </c>
    </row>
    <row r="24" ht="48" customHeight="1">
      <c r="A24" s="7" t="inlineStr">
        <is>
          <t>Dữ liệu chính thức không có: ACE32, FAMAS, MK12 (đối chiếu FAMAS và MK12 bằng AppMedia), và hầu hết súng mới thêm gần đây (AMR, M417, JS9, MP7, ARX, MG36, AA12, SPAS-12, AS50, M200, SVD, PKM...). Với các súng này không có nguồn đáng tin nên mình KHÔNG đề xuất quy tắc (để app không hạn chế).</t>
        </is>
      </c>
    </row>
    <row r="26">
      <c r="A26" s="6" t="inlineStr">
        <is>
          <t>Các sheet</t>
        </is>
      </c>
    </row>
    <row r="27">
      <c r="A27" s="8" t="inlineStr">
        <is>
          <t>38 súng chưa có quy tắc</t>
        </is>
      </c>
      <c r="C27" s="4" t="inlineStr">
        <is>
          <t>38 mã chưa có quy tắc: kết quả tra cứu và đề xuất theo tên enum của app</t>
        </is>
      </c>
    </row>
    <row r="28">
      <c r="A28" s="8" t="inlineStr">
        <is>
          <t>Đối chiếu 30 súng trong bảng</t>
        </is>
      </c>
      <c r="C28" s="4" t="inlineStr">
        <is>
          <t>30 súng trong bảng của bạn so với dữ liệu chính thức (có công thức Khớp/KHÁC)</t>
        </is>
      </c>
    </row>
    <row r="29">
      <c r="A29" s="8" t="inlineStr">
        <is>
          <t>Chính thức 和平精英 (45 súng)</t>
        </is>
      </c>
      <c r="C29" s="4" t="inlineStr">
        <is>
          <t>Dữ liệu chính thức Tencent, nguyên văn tiếng Trung và đã ánh xạ sang app</t>
        </is>
      </c>
    </row>
    <row r="30">
      <c r="A30" s="8" t="inlineStr">
        <is>
          <t>Phụ kiện → súng (chính thức)</t>
        </is>
      </c>
      <c r="C30" s="4" t="inlineStr">
        <is>
          <t>Từng phụ kiện chính thức và danh sách súng áp dụng</t>
        </is>
      </c>
    </row>
    <row r="31">
      <c r="A31" s="8" t="inlineStr">
        <is>
          <t>AppMedia (toàn cầu 2022)</t>
        </is>
      </c>
      <c r="C31" s="4" t="inlineStr">
        <is>
          <t>Bảng AppMedia bản toàn cầu</t>
        </is>
      </c>
    </row>
    <row r="32">
      <c r="A32" s="8" t="inlineStr">
        <is>
          <t>Nguồn</t>
        </is>
      </c>
      <c r="C32" s="4" t="inlineStr">
        <is>
          <t>Nguồn, ngày, độ tin cậy, hạn chế</t>
        </is>
      </c>
    </row>
    <row r="33">
      <c r="A33" s="8" t="inlineStr">
        <is>
          <t>Ghi chú và giả định</t>
        </is>
      </c>
      <c r="C33" s="4" t="inlineStr">
        <is>
          <t>Giả định và cách ánh xạ</t>
        </is>
      </c>
    </row>
  </sheetData>
  <mergeCells count="4">
    <mergeCell ref="A23:C23"/>
    <mergeCell ref="A24:C24"/>
    <mergeCell ref="A21:C21"/>
    <mergeCell ref="A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0" customWidth="1" min="4" max="4"/>
    <col width="14" customWidth="1" min="5" max="5"/>
    <col width="28" customWidth="1" min="6" max="6"/>
    <col width="28" customWidth="1" min="7" max="7"/>
    <col width="26" customWidth="1" min="8" max="8"/>
    <col width="22" customWidth="1" min="9" max="9"/>
    <col width="28" customWidth="1" min="10" max="10"/>
    <col width="28" customWidth="1" min="11" max="11"/>
    <col width="26" customWidth="1" min="12" max="12"/>
    <col width="26" customWidth="1" min="13" max="13"/>
    <col width="14" customWidth="1" min="14" max="14"/>
    <col width="16" customWidth="1" min="15" max="15"/>
    <col width="36" customWidth="1" min="16" max="16"/>
    <col width="60" customWidth="1" min="17" max="17"/>
  </cols>
  <sheetData>
    <row r="1">
      <c r="A1" s="1" t="inlineStr">
        <is>
          <t>38 mã súng của app mà bảng của bạn chưa có: kết quả tra cứu</t>
        </is>
      </c>
    </row>
    <row r="2">
      <c r="A2" s="2" t="inlineStr">
        <is>
          <t>Cột "Đề xuất" dùng đúng tên của app (COMPENSATOR, VERTICAL, GENERAL...). "—" = không lắp được; ô trống = chưa có đề xuất. Ống ngắm tối đa tính theo mục ống ngắm của app (X63=6x, X84=8x...).</t>
        </is>
      </c>
    </row>
    <row r="4" ht="44" customHeight="1">
      <c r="A4" s="9" t="inlineStr">
        <is>
          <t>STT</t>
        </is>
      </c>
      <c r="B4" s="9" t="inlineStr">
        <is>
          <t>Mã (app)</t>
        </is>
      </c>
      <c r="C4" s="9" t="inlineStr">
        <is>
          <t>Tên súng (nhận diện)</t>
        </is>
      </c>
      <c r="D4" s="9" t="inlineStr">
        <is>
          <t>Loại</t>
        </is>
      </c>
      <c r="E4" s="9" t="inlineStr">
        <is>
          <t>Độ tin cậy</t>
        </is>
      </c>
      <c r="F4" s="9" t="inlineStr">
        <is>
          <t>Đầu nòng</t>
        </is>
      </c>
      <c r="G4" s="9" t="inlineStr">
        <is>
          <t>Tay cầm</t>
        </is>
      </c>
      <c r="H4" s="9" t="inlineStr">
        <is>
          <t>Báng</t>
        </is>
      </c>
      <c r="I4" s="9" t="inlineStr">
        <is>
          <t>Ống ngắm</t>
        </is>
      </c>
      <c r="J4" s="9" t="inlineStr">
        <is>
          <t>Băng đạn / khác</t>
        </is>
      </c>
      <c r="K4" s="9" t="inlineStr">
        <is>
          <t>Đề xuất: đầu nòng</t>
        </is>
      </c>
      <c r="L4" s="9" t="inlineStr">
        <is>
          <t>Đề xuất: tay cầm</t>
        </is>
      </c>
      <c r="M4" s="9" t="inlineStr">
        <is>
          <t>Đề xuất: báng</t>
        </is>
      </c>
      <c r="N4" s="9" t="inlineStr">
        <is>
          <t>Đề xuất: ống ngắm tối đa</t>
        </is>
      </c>
      <c r="O4" s="9" t="inlineStr">
        <is>
          <t>Trạng thái đề xuất</t>
        </is>
      </c>
      <c r="P4" s="9" t="inlineStr">
        <is>
          <t>Nguồn</t>
        </is>
      </c>
      <c r="Q4" s="9" t="inlineStr">
        <is>
          <t>Ghi chú</t>
        </is>
      </c>
    </row>
    <row r="5">
      <c r="A5" s="10" t="n">
        <v>1</v>
      </c>
      <c r="B5" s="11" t="inlineStr">
        <is>
          <t>Empty</t>
        </is>
      </c>
      <c r="C5" s="10" t="inlineStr">
        <is>
          <t>(Không súng / tay không)</t>
        </is>
      </c>
      <c r="D5" s="10" t="inlineStr">
        <is>
          <t>Đặc biệt</t>
        </is>
      </c>
      <c r="E5" s="12" t="inlineStr">
        <is>
          <t>Không áp dụng</t>
        </is>
      </c>
      <c r="F5" s="10" t="inlineStr">
        <is>
          <t>—</t>
        </is>
      </c>
      <c r="G5" s="10" t="inlineStr">
        <is>
          <t>—</t>
        </is>
      </c>
      <c r="H5" s="10" t="inlineStr">
        <is>
          <t>—</t>
        </is>
      </c>
      <c r="I5" s="10" t="inlineStr">
        <is>
          <t>—</t>
        </is>
      </c>
      <c r="J5" s="10" t="inlineStr">
        <is>
          <t>—</t>
        </is>
      </c>
      <c r="K5" s="10" t="inlineStr"/>
      <c r="L5" s="10" t="inlineStr"/>
      <c r="M5" s="10" t="inlineStr"/>
      <c r="N5" s="10" t="inlineStr"/>
      <c r="O5" s="10" t="inlineStr">
        <is>
          <t>Không áp dụng</t>
        </is>
      </c>
      <c r="P5" s="10" t="inlineStr">
        <is>
          <t>—</t>
        </is>
      </c>
      <c r="Q5" s="10" t="inlineStr">
        <is>
          <t>Không phải súng. App đã xử lý là súng luôn bằng 0.</t>
        </is>
      </c>
    </row>
    <row r="6">
      <c r="A6" s="10" t="n">
        <v>2</v>
      </c>
      <c r="B6" s="11" t="inlineStr">
        <is>
          <t>CrossBow</t>
        </is>
      </c>
      <c r="C6" s="10" t="inlineStr">
        <is>
          <t>Nỏ (Crossbow)</t>
        </is>
      </c>
      <c r="D6" s="10" t="inlineStr">
        <is>
          <t>Khác</t>
        </is>
      </c>
      <c r="E6" s="13" t="inlineStr">
        <is>
          <t>Cao</t>
        </is>
      </c>
      <c r="F6" s="10" t="inlineStr">
        <is>
          <t>—</t>
        </is>
      </c>
      <c r="G6" s="10" t="inlineStr">
        <is>
          <t>Túi tên (Quiver)</t>
        </is>
      </c>
      <c r="H6" s="10" t="inlineStr">
        <is>
          <t>—</t>
        </is>
      </c>
      <c r="I6" s="10" t="inlineStr">
        <is>
          <t>6x</t>
        </is>
      </c>
      <c r="J6" s="10" t="inlineStr">
        <is>
          <t>Băng đạn: —</t>
        </is>
      </c>
      <c r="K6" s="10" t="inlineStr">
        <is>
          <t>—</t>
        </is>
      </c>
      <c r="L6" s="10" t="inlineStr">
        <is>
          <t>—</t>
        </is>
      </c>
      <c r="M6" s="10" t="inlineStr">
        <is>
          <t>—</t>
        </is>
      </c>
      <c r="N6" s="10" t="n">
        <v>6</v>
      </c>
      <c r="O6" s="10" t="inlineStr">
        <is>
          <t>Áp dụng được</t>
        </is>
      </c>
      <c r="P6" s="10" t="inlineStr">
        <is>
          <t>Chính thức 和平精英 (Tencent); AppMedia</t>
        </is>
      </c>
      <c r="Q6" s="10" t="inlineStr">
        <is>
          <t>Khớp AppMedia (Red Dot, Holo, 2–6x; chỉ có Túi tên). Túi tên không có trong danh sách tay cầm của app.</t>
        </is>
      </c>
    </row>
    <row r="7">
      <c r="A7" s="10" t="n">
        <v>3</v>
      </c>
      <c r="B7" s="11" t="inlineStr">
        <is>
          <t>Mosin</t>
        </is>
      </c>
      <c r="C7" s="10" t="inlineStr">
        <is>
          <t>Mosin-Nagant</t>
        </is>
      </c>
      <c r="D7" s="10" t="inlineStr">
        <is>
          <t>Súng bắn tỉa (SR)</t>
        </is>
      </c>
      <c r="E7" s="14" t="inlineStr">
        <is>
          <t>Trung bình</t>
        </is>
      </c>
      <c r="F7" s="10" t="inlineStr">
        <is>
          <t>Hãm giật, Ẩn tia lửa, Giảm thanh (loại SR)</t>
        </is>
      </c>
      <c r="G7" s="10" t="inlineStr">
        <is>
          <t>—</t>
        </is>
      </c>
      <c r="H7" s="10" t="inlineStr">
        <is>
          <t>Ốp má (Cheek Pad), Vỏ đạn (Shell Holder): không có trong app</t>
        </is>
      </c>
      <c r="I7" s="10" t="inlineStr">
        <is>
          <t>RD, Holo, Canted, 2–8x</t>
        </is>
      </c>
      <c r="J7" s="10" t="inlineStr">
        <is>
          <t>Không băng đạn</t>
        </is>
      </c>
      <c r="K7" s="10" t="inlineStr">
        <is>
          <t>COMPENSATOR, FLASH_HIDER, SUPPRESSOR</t>
        </is>
      </c>
      <c r="L7" s="10" t="inlineStr">
        <is>
          <t>—</t>
        </is>
      </c>
      <c r="M7" s="10" t="inlineStr">
        <is>
          <t>—</t>
        </is>
      </c>
      <c r="N7" s="10" t="n">
        <v>8</v>
      </c>
      <c r="O7" s="10" t="inlineStr">
        <is>
          <t>Cần xác nhận</t>
        </is>
      </c>
      <c r="P7" s="10" t="inlineStr">
        <is>
          <t>AppMedia 武器一覧 (PUBG Mobile toàn cầu, 27/05/2022)</t>
        </is>
      </c>
      <c r="Q7" s="10" t="inlineStr">
        <is>
          <t>Chỉ AppMedia (bản toàn cầu); súng không có trong dữ liệu chính thức 和平精英. Một nguồn khác (BGMI, chưa kiểm chứng) nói Mosin bị gỡ khỏi bản đồ năm 2026.</t>
        </is>
      </c>
    </row>
    <row r="8">
      <c r="A8" s="10" t="n">
        <v>4</v>
      </c>
      <c r="B8" s="11" t="inlineStr">
        <is>
          <t>MG3</t>
        </is>
      </c>
      <c r="C8" s="10" t="inlineStr">
        <is>
          <t>MG3</t>
        </is>
      </c>
      <c r="D8" s="10" t="inlineStr">
        <is>
          <t>Súng máy (LMG)</t>
        </is>
      </c>
      <c r="E8" s="13" t="inlineStr">
        <is>
          <t>Cao</t>
        </is>
      </c>
      <c r="F8" s="10" t="inlineStr">
        <is>
          <t>—</t>
        </is>
      </c>
      <c r="G8" s="10" t="inlineStr">
        <is>
          <t>—</t>
        </is>
      </c>
      <c r="H8" s="10" t="inlineStr">
        <is>
          <t>—</t>
        </is>
      </c>
      <c r="I8" s="10" t="inlineStr">
        <is>
          <t>6x</t>
        </is>
      </c>
      <c r="J8" s="10" t="inlineStr">
        <is>
          <t>Băng đạn: —</t>
        </is>
      </c>
      <c r="K8" s="10" t="inlineStr">
        <is>
          <t>—</t>
        </is>
      </c>
      <c r="L8" s="10" t="inlineStr">
        <is>
          <t>—</t>
        </is>
      </c>
      <c r="M8" s="10" t="inlineStr">
        <is>
          <t>—</t>
        </is>
      </c>
      <c r="N8" s="10" t="n">
        <v>6</v>
      </c>
      <c r="O8" s="10" t="inlineStr">
        <is>
          <t>Áp dụng được</t>
        </is>
      </c>
      <c r="P8" s="10" t="inlineStr">
        <is>
          <t>Chính thức 和平精英 (Tencent); AppMedia</t>
        </is>
      </c>
      <c r="Q8" s="10" t="inlineStr">
        <is>
          <t>Khớp AppMedia và bài 18183 (MG3 không phụ thuộc phụ kiện). Chỉ lắp ống ngắm.</t>
        </is>
      </c>
    </row>
    <row r="9">
      <c r="A9" s="10" t="n">
        <v>5</v>
      </c>
      <c r="B9" s="11" t="inlineStr">
        <is>
          <t>M249</t>
        </is>
      </c>
      <c r="C9" s="10" t="inlineStr">
        <is>
          <t>M249</t>
        </is>
      </c>
      <c r="D9" s="10" t="inlineStr">
        <is>
          <t>Súng máy (LMG)</t>
        </is>
      </c>
      <c r="E9" s="14" t="inlineStr">
        <is>
          <t>Trung bình</t>
        </is>
      </c>
      <c r="F9" s="10" t="inlineStr">
        <is>
          <t>—</t>
        </is>
      </c>
      <c r="G9" s="10" t="inlineStr">
        <is>
          <t>—</t>
        </is>
      </c>
      <c r="H9" s="10" t="inlineStr">
        <is>
          <t>—</t>
        </is>
      </c>
      <c r="I9" s="10" t="inlineStr">
        <is>
          <t>6x + ống ngắm bên</t>
        </is>
      </c>
      <c r="J9" s="10" t="inlineStr">
        <is>
          <t>Băng đạn: —</t>
        </is>
      </c>
      <c r="K9" s="10" t="inlineStr">
        <is>
          <t>—</t>
        </is>
      </c>
      <c r="L9" s="10" t="inlineStr">
        <is>
          <t>—</t>
        </is>
      </c>
      <c r="M9" s="10" t="inlineStr">
        <is>
          <t>—</t>
        </is>
      </c>
      <c r="N9" s="10" t="n">
        <v>6</v>
      </c>
      <c r="O9" s="10" t="inlineStr">
        <is>
          <t>Cần xác nhận</t>
        </is>
      </c>
      <c r="P9" s="10" t="inlineStr">
        <is>
          <t>Chính thức 和平精英 (Tencent); AppMedia (khác)</t>
        </is>
      </c>
      <c r="Q9" s="10" t="inlineStr">
        <is>
          <t>MÂU THUẪN giữa các phiên bản: dữ liệu chính thức 和平精英 chỉ cho ống ngắm; AppMedia và mobilematters.gg (bản toàn cầu) ghi M249 lắp được Báng chiến thuật. Bạn chơi bản nào thì theo bản đó; đề xuất theo bản chính thức 和平精英.</t>
        </is>
      </c>
    </row>
    <row r="10">
      <c r="A10" s="10" t="n">
        <v>6</v>
      </c>
      <c r="B10" s="11" t="inlineStr">
        <is>
          <t>PKM</t>
        </is>
      </c>
      <c r="C10" s="10" t="inlineStr">
        <is>
          <t>PKM (suy từ mã)</t>
        </is>
      </c>
      <c r="D10" s="10" t="inlineStr">
        <is>
          <t>Súng máy (LMG)</t>
        </is>
      </c>
      <c r="E10" s="15" t="inlineStr">
        <is>
          <t>Chưa tìm thấy</t>
        </is>
      </c>
      <c r="F10" s="10" t="inlineStr">
        <is>
          <t>—</t>
        </is>
      </c>
      <c r="G10" s="10" t="inlineStr">
        <is>
          <t>—</t>
        </is>
      </c>
      <c r="H10" s="10" t="inlineStr">
        <is>
          <t>—</t>
        </is>
      </c>
      <c r="I10" s="10" t="inlineStr">
        <is>
          <t>—</t>
        </is>
      </c>
      <c r="J10" s="10" t="inlineStr">
        <is>
          <t>—</t>
        </is>
      </c>
      <c r="K10" s="10" t="inlineStr"/>
      <c r="L10" s="10" t="inlineStr"/>
      <c r="M10" s="10" t="inlineStr"/>
      <c r="N10" s="10" t="inlineStr"/>
      <c r="O10" s="10" t="inlineStr">
        <is>
          <t>Không đủ dữ liệu</t>
        </is>
      </c>
      <c r="P10" s="10" t="inlineStr">
        <is>
          <t>—</t>
        </is>
      </c>
      <c r="Q10" s="10" t="inlineStr">
        <is>
          <t>Không tìm thấy nguồn nào. Bản toàn cầu thêm RPD (2026), không rõ PKM.</t>
        </is>
      </c>
    </row>
    <row r="11">
      <c r="A11" s="10" t="n">
        <v>7</v>
      </c>
      <c r="B11" s="11" t="inlineStr">
        <is>
          <t>ASM</t>
        </is>
      </c>
      <c r="C11" s="10" t="inlineStr">
        <is>
          <t>ASM Abakan = AN-94 (theo IMFDB)</t>
        </is>
      </c>
      <c r="D11" s="10" t="inlineStr">
        <is>
          <t>Súng trường tấn công (AR)</t>
        </is>
      </c>
      <c r="E11" s="15" t="inlineStr">
        <is>
          <t>Chưa tìm thấy</t>
        </is>
      </c>
      <c r="F11" s="10" t="inlineStr">
        <is>
          <t>—</t>
        </is>
      </c>
      <c r="G11" s="10" t="inlineStr">
        <is>
          <t>—</t>
        </is>
      </c>
      <c r="H11" s="10" t="inlineStr">
        <is>
          <t>—</t>
        </is>
      </c>
      <c r="I11" s="10" t="inlineStr">
        <is>
          <t>—</t>
        </is>
      </c>
      <c r="J11" s="10" t="inlineStr">
        <is>
          <t>—</t>
        </is>
      </c>
      <c r="K11" s="10" t="inlineStr"/>
      <c r="L11" s="10" t="inlineStr"/>
      <c r="M11" s="10" t="inlineStr"/>
      <c r="N11" s="10" t="inlineStr"/>
      <c r="O11" s="10" t="inlineStr">
        <is>
          <t>Không đủ dữ liệu</t>
        </is>
      </c>
      <c r="P11" s="10" t="inlineStr">
        <is>
          <t>—</t>
        </is>
      </c>
      <c r="Q11" s="10" t="inlineStr">
        <is>
          <t>Chỉ có một dòng IMFDB nói "ASM Abakan" được thêm vào PUBG Mobile. Có thể trùng mã ABAKAN.</t>
        </is>
      </c>
    </row>
    <row r="12">
      <c r="A12" s="10" t="n">
        <v>8</v>
      </c>
      <c r="B12" s="11" t="inlineStr">
        <is>
          <t>DBS</t>
        </is>
      </c>
      <c r="C12" s="10" t="inlineStr">
        <is>
          <t>DBS</t>
        </is>
      </c>
      <c r="D12" s="10" t="inlineStr">
        <is>
          <t>Shotgun (SG)</t>
        </is>
      </c>
      <c r="E12" s="13" t="inlineStr">
        <is>
          <t>Cao</t>
        </is>
      </c>
      <c r="F12" s="10" t="inlineStr">
        <is>
          <t>—</t>
        </is>
      </c>
      <c r="G12" s="10" t="inlineStr">
        <is>
          <t>—</t>
        </is>
      </c>
      <c r="H12" s="10" t="inlineStr">
        <is>
          <t>—</t>
        </is>
      </c>
      <c r="I12" s="10" t="inlineStr">
        <is>
          <t>6x + ống ngắm bên</t>
        </is>
      </c>
      <c r="J12" s="10" t="inlineStr">
        <is>
          <t>Băng đạn: —</t>
        </is>
      </c>
      <c r="K12" s="10" t="inlineStr">
        <is>
          <t>—</t>
        </is>
      </c>
      <c r="L12" s="10" t="inlineStr">
        <is>
          <t>—</t>
        </is>
      </c>
      <c r="M12" s="10" t="inlineStr">
        <is>
          <t>—</t>
        </is>
      </c>
      <c r="N12" s="10" t="n">
        <v>6</v>
      </c>
      <c r="O12" s="10" t="inlineStr">
        <is>
          <t>Áp dụng được</t>
        </is>
      </c>
      <c r="P12" s="10" t="inlineStr">
        <is>
          <t>Chính thức 和平精英 (Tencent); AppMedia</t>
        </is>
      </c>
      <c r="Q12" s="10" t="inlineStr">
        <is>
          <t>Khớp AppMedia (RD, Holo, Canted, 2–6x; không phụ kiện khác).</t>
        </is>
      </c>
    </row>
    <row r="13">
      <c r="A13" s="10" t="n">
        <v>9</v>
      </c>
      <c r="B13" s="11" t="inlineStr">
        <is>
          <t>M1014</t>
        </is>
      </c>
      <c r="C13" s="10" t="inlineStr">
        <is>
          <t>M1014</t>
        </is>
      </c>
      <c r="D13" s="10" t="inlineStr">
        <is>
          <t>Shotgun (SG)</t>
        </is>
      </c>
      <c r="E13" s="14" t="inlineStr">
        <is>
          <t>Trung bình</t>
        </is>
      </c>
      <c r="F13" s="10" t="inlineStr">
        <is>
          <t>—</t>
        </is>
      </c>
      <c r="G13" s="10" t="inlineStr">
        <is>
          <t>—</t>
        </is>
      </c>
      <c r="H13" s="10" t="inlineStr">
        <is>
          <t>Vỏ đạn (Shell Holder): không có trong app</t>
        </is>
      </c>
      <c r="I13" s="10" t="inlineStr">
        <is>
          <t>không lắp ống ngắm</t>
        </is>
      </c>
      <c r="J13" s="10" t="inlineStr">
        <is>
          <t>Choke, Duckbill, Shell Holder</t>
        </is>
      </c>
      <c r="K13" s="10" t="inlineStr">
        <is>
          <t>—</t>
        </is>
      </c>
      <c r="L13" s="10" t="inlineStr">
        <is>
          <t>—</t>
        </is>
      </c>
      <c r="M13" s="10" t="inlineStr">
        <is>
          <t>—</t>
        </is>
      </c>
      <c r="N13" s="10" t="n">
        <v>0</v>
      </c>
      <c r="O13" s="10" t="inlineStr">
        <is>
          <t>Cần xác nhận</t>
        </is>
      </c>
      <c r="P13" s="10" t="inlineStr">
        <is>
          <t>AppMedia 武器一覧 (PUBG Mobile toàn cầu, 27/05/2022)</t>
        </is>
      </c>
      <c r="Q13" s="10" t="inlineStr">
        <is>
          <t>Chỉ AppMedia (bản toàn cầu). Choke/Duckbill không có trong danh sách nòng của app.</t>
        </is>
      </c>
    </row>
    <row r="14">
      <c r="A14" s="10" t="n">
        <v>10</v>
      </c>
      <c r="B14" s="11" t="inlineStr">
        <is>
          <t>MP5K</t>
        </is>
      </c>
      <c r="C14" s="10" t="inlineStr">
        <is>
          <t>MP5K</t>
        </is>
      </c>
      <c r="D14" s="10" t="inlineStr">
        <is>
          <t>Súng tiểu liên (SMG)</t>
        </is>
      </c>
      <c r="E14" s="14" t="inlineStr">
        <is>
          <t>Trung bình</t>
        </is>
      </c>
      <c r="F14" s="10" t="inlineStr">
        <is>
          <t>Hãm giật, Ẩn tia lửa, Giảm thanh</t>
        </is>
      </c>
      <c r="G14" s="10" t="inlineStr">
        <is>
          <t>Đứng, Nhẹ, Half (AppMedia); xem ghi chú</t>
        </is>
      </c>
      <c r="H14" s="10" t="inlineStr">
        <is>
          <t>Báng chiến thuật</t>
        </is>
      </c>
      <c r="I14" s="10" t="inlineStr">
        <is>
          <t>RD, Holo, Canted, 2–6x</t>
        </is>
      </c>
      <c r="J14" s="10" t="inlineStr">
        <is>
          <t>Băng đạn QD/LM/LQD; Laser</t>
        </is>
      </c>
      <c r="K14" s="10" t="inlineStr">
        <is>
          <t>COMPENSATOR, FLASH_HIDER, SUPPRESSOR</t>
        </is>
      </c>
      <c r="L14" s="10" t="inlineStr">
        <is>
          <t>HALF, LASER, LIGHT, VERTICAL</t>
        </is>
      </c>
      <c r="M14" s="10" t="inlineStr">
        <is>
          <t>GENERAL</t>
        </is>
      </c>
      <c r="N14" s="10" t="n">
        <v>6</v>
      </c>
      <c r="O14" s="10" t="inlineStr">
        <is>
          <t>Cần xác nhận</t>
        </is>
      </c>
      <c r="P14" s="10" t="inlineStr">
        <is>
          <t>AppMedia 武器一覧 (PUBG Mobile toàn cầu, 27/05/2022); mobilematters.gg</t>
        </is>
      </c>
      <c r="Q14" s="10" t="inlineStr">
        <is>
          <t>Nguồn mâu thuẫn về tay cầm: AppMedia = Đứng/Nhẹ/Half (+Laser); mobilematters.gg dựng MP5K với Tay cầm tam giác; Sportskeeda ghi cả Ngón cái. Đề xuất theo AppMedia (hẹp hơn, an toàn hơn).</t>
        </is>
      </c>
    </row>
    <row r="15">
      <c r="A15" s="10" t="n">
        <v>11</v>
      </c>
      <c r="B15" s="11" t="inlineStr">
        <is>
          <t>Bison</t>
        </is>
      </c>
      <c r="C15" s="10" t="inlineStr">
        <is>
          <t>PP-19 Bizon</t>
        </is>
      </c>
      <c r="D15" s="10" t="inlineStr">
        <is>
          <t>Súng tiểu liên (SMG)</t>
        </is>
      </c>
      <c r="E15" s="13" t="inlineStr">
        <is>
          <t>Cao</t>
        </is>
      </c>
      <c r="F15" s="10" t="inlineStr">
        <is>
          <t>Hãm giật, Ẩn tia lửa, Giảm thanh</t>
        </is>
      </c>
      <c r="G15" s="10" t="inlineStr">
        <is>
          <t>—</t>
        </is>
      </c>
      <c r="H15" s="10" t="inlineStr">
        <is>
          <t>—</t>
        </is>
      </c>
      <c r="I15" s="10" t="inlineStr">
        <is>
          <t>6x + ống ngắm bên</t>
        </is>
      </c>
      <c r="J15" s="10" t="inlineStr">
        <is>
          <t>Băng đạn: —</t>
        </is>
      </c>
      <c r="K15" s="10" t="inlineStr">
        <is>
          <t>COMPENSATOR, FLASH_HIDER, SUPPRESSOR</t>
        </is>
      </c>
      <c r="L15" s="10" t="inlineStr">
        <is>
          <t>—</t>
        </is>
      </c>
      <c r="M15" s="10" t="inlineStr">
        <is>
          <t>—</t>
        </is>
      </c>
      <c r="N15" s="10" t="n">
        <v>6</v>
      </c>
      <c r="O15" s="10" t="inlineStr">
        <is>
          <t>Áp dụng được</t>
        </is>
      </c>
      <c r="P15" s="10" t="inlineStr">
        <is>
          <t>Chính thức 和平精英 (Tencent); AppMedia</t>
        </is>
      </c>
      <c r="Q15" s="10" t="inlineStr">
        <is>
          <t>Khớp AppMedia (Comp/FH/Supp, RD/Holo/2–6x, không tay cầm, không báng).</t>
        </is>
      </c>
    </row>
    <row r="16">
      <c r="A16" s="10" t="n">
        <v>12</v>
      </c>
      <c r="B16" s="11" t="inlineStr">
        <is>
          <t>P90</t>
        </is>
      </c>
      <c r="C16" s="10" t="inlineStr">
        <is>
          <t>P90</t>
        </is>
      </c>
      <c r="D16" s="10" t="inlineStr">
        <is>
          <t>Súng tiểu liên (SMG)</t>
        </is>
      </c>
      <c r="E16" s="14" t="inlineStr">
        <is>
          <t>Trung bình</t>
        </is>
      </c>
      <c r="F16" s="10" t="inlineStr">
        <is>
          <t>Hãm giật, Ẩn tia lửa, Giảm thanh</t>
        </is>
      </c>
      <c r="G16" s="10" t="inlineStr">
        <is>
          <t>Laser (đặt ở khe tay cầm)</t>
        </is>
      </c>
      <c r="H16" s="10" t="inlineStr">
        <is>
          <t>—</t>
        </is>
      </c>
      <c r="I16" s="10" t="inlineStr">
        <is>
          <t>RD, Holo, 2–6x</t>
        </is>
      </c>
      <c r="J16" s="10" t="inlineStr">
        <is>
          <t>Không băng đạn</t>
        </is>
      </c>
      <c r="K16" s="10" t="inlineStr">
        <is>
          <t>COMPENSATOR, FLASH_HIDER, SUPPRESSOR</t>
        </is>
      </c>
      <c r="L16" s="10" t="inlineStr">
        <is>
          <t>LASER</t>
        </is>
      </c>
      <c r="M16" s="10" t="inlineStr">
        <is>
          <t>—</t>
        </is>
      </c>
      <c r="N16" s="10" t="n">
        <v>6</v>
      </c>
      <c r="O16" s="10" t="inlineStr">
        <is>
          <t>Cần xác nhận</t>
        </is>
      </c>
      <c r="P16" s="10" t="inlineStr">
        <is>
          <t>AppMedia 武器一覧 (PUBG Mobile toàn cầu, 27/05/2022); mobilematters.gg</t>
        </is>
      </c>
      <c r="Q16" s="10" t="inlineStr">
        <is>
          <t>Khớp giữa AppMedia (Laser) và mobilematters.gg (Compensator + Red Dot + Laser làm tay cầm).</t>
        </is>
      </c>
    </row>
    <row r="17">
      <c r="A17" s="10" t="n">
        <v>13</v>
      </c>
      <c r="B17" s="11" t="inlineStr">
        <is>
          <t>Win94</t>
        </is>
      </c>
      <c r="C17" s="10" t="inlineStr">
        <is>
          <t>Win94</t>
        </is>
      </c>
      <c r="D17" s="10" t="inlineStr">
        <is>
          <t>Súng bắn tỉa (SR)</t>
        </is>
      </c>
      <c r="E17" s="13" t="inlineStr">
        <is>
          <t>Cao</t>
        </is>
      </c>
      <c r="F17" s="10" t="inlineStr">
        <is>
          <t>—</t>
        </is>
      </c>
      <c r="G17" s="10" t="inlineStr">
        <is>
          <t>—</t>
        </is>
      </c>
      <c r="H17" s="10" t="inlineStr">
        <is>
          <t>Túi đạn (Bullet Loops)</t>
        </is>
      </c>
      <c r="I17" s="10" t="inlineStr">
        <is>
          <t>không lắp được ống ngắm</t>
        </is>
      </c>
      <c r="J17" s="10" t="inlineStr">
        <is>
          <t>Băng đạn: —</t>
        </is>
      </c>
      <c r="K17" s="10" t="inlineStr">
        <is>
          <t>—</t>
        </is>
      </c>
      <c r="L17" s="10" t="inlineStr">
        <is>
          <t>—</t>
        </is>
      </c>
      <c r="M17" s="10" t="inlineStr">
        <is>
          <t>—</t>
        </is>
      </c>
      <c r="N17" s="10" t="n">
        <v>0</v>
      </c>
      <c r="O17" s="10" t="inlineStr">
        <is>
          <t>Áp dụng được</t>
        </is>
      </c>
      <c r="P17" s="10" t="inlineStr">
        <is>
          <t>Chính thức 和平精英 (Tencent); AppMedia</t>
        </is>
      </c>
      <c r="Q17" s="10" t="inlineStr">
        <is>
          <t>"Không thể lắp ống ngắm". Báng duy nhất là Túi đạn (Bullet Loops), không có trong danh sách báng của app. Đề xuất ống ngắm tối đa 0 (chỉ bắn hông).</t>
        </is>
      </c>
    </row>
    <row r="18">
      <c r="A18" s="10" t="n">
        <v>14</v>
      </c>
      <c r="B18" s="11" t="inlineStr">
        <is>
          <t>AMR</t>
        </is>
      </c>
      <c r="C18" s="10" t="inlineStr">
        <is>
          <t>AMR (Lynx AMR)</t>
        </is>
      </c>
      <c r="D18" s="10" t="inlineStr">
        <is>
          <t>Súng bắn tỉa (SR)</t>
        </is>
      </c>
      <c r="E18" s="14" t="inlineStr">
        <is>
          <t>Trung bình</t>
        </is>
      </c>
      <c r="F18" s="10" t="inlineStr">
        <is>
          <t>—</t>
        </is>
      </c>
      <c r="G18" s="10" t="inlineStr">
        <is>
          <t>—</t>
        </is>
      </c>
      <c r="H18" s="10" t="inlineStr">
        <is>
          <t>—</t>
        </is>
      </c>
      <c r="I18" s="10" t="inlineStr">
        <is>
          <t>Đến 8x (khuyên 8x, có thể 4x/6x)</t>
        </is>
      </c>
      <c r="J18" s="10" t="inlineStr">
        <is>
          <t>Chỉ có MỘT khe phụ kiện: ống ngắm</t>
        </is>
      </c>
      <c r="K18" s="10" t="inlineStr">
        <is>
          <t>—</t>
        </is>
      </c>
      <c r="L18" s="10" t="inlineStr">
        <is>
          <t>—</t>
        </is>
      </c>
      <c r="M18" s="10" t="inlineStr">
        <is>
          <t>—</t>
        </is>
      </c>
      <c r="N18" s="10" t="n">
        <v>8</v>
      </c>
      <c r="O18" s="10" t="inlineStr">
        <is>
          <t>Cần xác nhận</t>
        </is>
      </c>
      <c r="P18" s="10" t="inlineStr">
        <is>
          <t>mobilematters.gg (AMR loadout); game.xiaomi.com (AMR "chỉ cần một ống ngắm là đủ")</t>
        </is>
      </c>
      <c r="Q18" s="10" t="inlineStr">
        <is>
          <t>Hai nguồn cùng nói AMR chỉ có khe ống ngắm; mobilematters không nêu ngày bài. Chưa thấy nguồn chính thức.</t>
        </is>
      </c>
    </row>
    <row r="19">
      <c r="A19" s="10" t="n">
        <v>15</v>
      </c>
      <c r="B19" s="11" t="inlineStr">
        <is>
          <t>ACVAL</t>
        </is>
      </c>
      <c r="C19" s="10" t="inlineStr">
        <is>
          <t>ACVAL (chưa nhận diện chắc)</t>
        </is>
      </c>
      <c r="D19" s="10" t="inlineStr">
        <is>
          <t>Chưa rõ</t>
        </is>
      </c>
      <c r="E19" s="15" t="inlineStr">
        <is>
          <t>Chưa tìm thấy</t>
        </is>
      </c>
      <c r="F19" s="10" t="inlineStr">
        <is>
          <t>—</t>
        </is>
      </c>
      <c r="G19" s="10" t="inlineStr">
        <is>
          <t>—</t>
        </is>
      </c>
      <c r="H19" s="10" t="inlineStr">
        <is>
          <t>—</t>
        </is>
      </c>
      <c r="I19" s="10" t="inlineStr">
        <is>
          <t>—</t>
        </is>
      </c>
      <c r="J19" s="10" t="inlineStr">
        <is>
          <t>—</t>
        </is>
      </c>
      <c r="K19" s="10" t="inlineStr"/>
      <c r="L19" s="10" t="inlineStr"/>
      <c r="M19" s="10" t="inlineStr"/>
      <c r="N19" s="10" t="inlineStr"/>
      <c r="O19" s="10" t="inlineStr">
        <is>
          <t>Không đủ dữ liệu</t>
        </is>
      </c>
      <c r="P19" s="10" t="inlineStr">
        <is>
          <t>—</t>
        </is>
      </c>
      <c r="Q19" s="10" t="inlineStr">
        <is>
          <t>Không tìm thấy nguồn nào.</t>
        </is>
      </c>
    </row>
    <row r="20">
      <c r="A20" s="10" t="n">
        <v>16</v>
      </c>
      <c r="B20" s="11" t="inlineStr">
        <is>
          <t>Bow</t>
        </is>
      </c>
      <c r="C20" s="10" t="inlineStr">
        <is>
          <t>Cung (Bow)</t>
        </is>
      </c>
      <c r="D20" s="10" t="inlineStr">
        <is>
          <t>Cung</t>
        </is>
      </c>
      <c r="E20" s="15" t="inlineStr">
        <is>
          <t>Chưa tìm thấy</t>
        </is>
      </c>
      <c r="F20" s="10" t="inlineStr">
        <is>
          <t>—</t>
        </is>
      </c>
      <c r="G20" s="10" t="inlineStr">
        <is>
          <t>—</t>
        </is>
      </c>
      <c r="H20" s="10" t="inlineStr">
        <is>
          <t>—</t>
        </is>
      </c>
      <c r="I20" s="10" t="inlineStr">
        <is>
          <t>—</t>
        </is>
      </c>
      <c r="J20" s="10" t="inlineStr">
        <is>
          <t>—</t>
        </is>
      </c>
      <c r="K20" s="10" t="inlineStr"/>
      <c r="L20" s="10" t="inlineStr"/>
      <c r="M20" s="10" t="inlineStr"/>
      <c r="N20" s="10" t="inlineStr"/>
      <c r="O20" s="10" t="inlineStr">
        <is>
          <t>Không đủ dữ liệu</t>
        </is>
      </c>
      <c r="P20" s="10" t="inlineStr">
        <is>
          <t>—</t>
        </is>
      </c>
      <c r="Q20" s="10" t="inlineStr">
        <is>
          <t>Không tìm thấy nguồn. Suy luận: cung thường không có khe phụ kiện (chưa xác minh).</t>
        </is>
      </c>
    </row>
    <row r="21">
      <c r="A21" s="10" t="n">
        <v>17</v>
      </c>
      <c r="B21" s="11" t="inlineStr">
        <is>
          <t>SPAS12</t>
        </is>
      </c>
      <c r="C21" s="10" t="inlineStr">
        <is>
          <t>SPAS-12</t>
        </is>
      </c>
      <c r="D21" s="10" t="inlineStr">
        <is>
          <t>Shotgun (SG)</t>
        </is>
      </c>
      <c r="E21" s="15" t="inlineStr">
        <is>
          <t>Chưa tìm thấy</t>
        </is>
      </c>
      <c r="F21" s="10" t="inlineStr">
        <is>
          <t>—</t>
        </is>
      </c>
      <c r="G21" s="10" t="inlineStr">
        <is>
          <t>—</t>
        </is>
      </c>
      <c r="H21" s="10" t="inlineStr">
        <is>
          <t>—</t>
        </is>
      </c>
      <c r="I21" s="10" t="inlineStr">
        <is>
          <t>—</t>
        </is>
      </c>
      <c r="J21" s="10" t="inlineStr">
        <is>
          <t>—</t>
        </is>
      </c>
      <c r="K21" s="10" t="inlineStr"/>
      <c r="L21" s="10" t="inlineStr"/>
      <c r="M21" s="10" t="inlineStr"/>
      <c r="N21" s="10" t="inlineStr"/>
      <c r="O21" s="10" t="inlineStr">
        <is>
          <t>Không đủ dữ liệu</t>
        </is>
      </c>
      <c r="P21" s="10" t="inlineStr">
        <is>
          <t>—</t>
        </is>
      </c>
      <c r="Q21" s="10" t="inlineStr">
        <is>
          <t>Không tìm thấy nguồn. Duckbill của bản PC chỉ ghi S1897 và S12K.</t>
        </is>
      </c>
    </row>
    <row r="22">
      <c r="A22" s="10" t="n">
        <v>18</v>
      </c>
      <c r="B22" s="11" t="inlineStr">
        <is>
          <t>M417</t>
        </is>
      </c>
      <c r="C22" s="10" t="inlineStr">
        <is>
          <t>M417</t>
        </is>
      </c>
      <c r="D22" s="10" t="inlineStr">
        <is>
          <t>Súng trường xạ thủ (DMR)</t>
        </is>
      </c>
      <c r="E22" s="16" t="inlineStr">
        <is>
          <t>Thấp</t>
        </is>
      </c>
      <c r="F22" s="10" t="inlineStr">
        <is>
          <t>Chưa rõ</t>
        </is>
      </c>
      <c r="G22" s="10" t="inlineStr">
        <is>
          <t>Chưa rõ</t>
        </is>
      </c>
      <c r="H22" s="10" t="inlineStr">
        <is>
          <t>Chưa rõ</t>
        </is>
      </c>
      <c r="I22" s="10" t="inlineStr">
        <is>
          <t>Đến 8x</t>
        </is>
      </c>
      <c r="J22" s="10" t="inlineStr">
        <is>
          <t>Băng đạn mặc định 10 viên (cần băng mở rộng)</t>
        </is>
      </c>
      <c r="K22" s="10" t="inlineStr"/>
      <c r="L22" s="10" t="inlineStr"/>
      <c r="M22" s="10" t="inlineStr"/>
      <c r="N22" s="10" t="inlineStr"/>
      <c r="O22" s="10" t="inlineStr">
        <is>
          <t>Không đủ dữ liệu</t>
        </is>
      </c>
      <c r="P22" s="10" t="inlineStr">
        <is>
          <t>gurugamer.com (bài trước khi phát hành, 5.56mm, "hỗ trợ mọi ống ngắm đến 8x")</t>
        </is>
      </c>
      <c r="Q22" s="10" t="inlineStr">
        <is>
          <t>Chỉ có bài viết trước khi phát hành; Baidu Baike (chặn truy cập, không đọc được) được trích là nói M417 có đủ khe. Không đủ để đặt quy tắc; chỉ biết ống ngắm đến 8x.</t>
        </is>
      </c>
    </row>
    <row r="23">
      <c r="A23" s="10" t="n">
        <v>19</v>
      </c>
      <c r="B23" s="11" t="inlineStr">
        <is>
          <t>HB</t>
        </is>
      </c>
      <c r="C23" s="10" t="inlineStr">
        <is>
          <t>HB (chưa nhận diện)</t>
        </is>
      </c>
      <c r="D23" s="10" t="inlineStr">
        <is>
          <t>Chưa rõ</t>
        </is>
      </c>
      <c r="E23" s="15" t="inlineStr">
        <is>
          <t>Chưa tìm thấy</t>
        </is>
      </c>
      <c r="F23" s="10" t="inlineStr">
        <is>
          <t>—</t>
        </is>
      </c>
      <c r="G23" s="10" t="inlineStr">
        <is>
          <t>—</t>
        </is>
      </c>
      <c r="H23" s="10" t="inlineStr">
        <is>
          <t>—</t>
        </is>
      </c>
      <c r="I23" s="10" t="inlineStr">
        <is>
          <t>—</t>
        </is>
      </c>
      <c r="J23" s="10" t="inlineStr">
        <is>
          <t>—</t>
        </is>
      </c>
      <c r="K23" s="10" t="inlineStr"/>
      <c r="L23" s="10" t="inlineStr"/>
      <c r="M23" s="10" t="inlineStr"/>
      <c r="N23" s="10" t="inlineStr"/>
      <c r="O23" s="10" t="inlineStr">
        <is>
          <t>Không đủ dữ liệu</t>
        </is>
      </c>
      <c r="P23" s="10" t="inlineStr">
        <is>
          <t>—</t>
        </is>
      </c>
      <c r="Q23" s="10" t="inlineStr">
        <is>
          <t>Không tìm thấy nguồn nào.</t>
        </is>
      </c>
    </row>
    <row r="24">
      <c r="A24" s="10" t="n">
        <v>20</v>
      </c>
      <c r="B24" s="11" t="inlineStr">
        <is>
          <t>TacticsBow</t>
        </is>
      </c>
      <c r="C24" s="10" t="inlineStr">
        <is>
          <t>Cung chiến thuật (Tactical Bow)</t>
        </is>
      </c>
      <c r="D24" s="10" t="inlineStr">
        <is>
          <t>Cung</t>
        </is>
      </c>
      <c r="E24" s="15" t="inlineStr">
        <is>
          <t>Chưa tìm thấy</t>
        </is>
      </c>
      <c r="F24" s="10" t="inlineStr">
        <is>
          <t>—</t>
        </is>
      </c>
      <c r="G24" s="10" t="inlineStr">
        <is>
          <t>—</t>
        </is>
      </c>
      <c r="H24" s="10" t="inlineStr">
        <is>
          <t>—</t>
        </is>
      </c>
      <c r="I24" s="10" t="inlineStr">
        <is>
          <t>—</t>
        </is>
      </c>
      <c r="J24" s="10" t="inlineStr">
        <is>
          <t>—</t>
        </is>
      </c>
      <c r="K24" s="10" t="inlineStr"/>
      <c r="L24" s="10" t="inlineStr"/>
      <c r="M24" s="10" t="inlineStr"/>
      <c r="N24" s="10" t="inlineStr"/>
      <c r="O24" s="10" t="inlineStr">
        <is>
          <t>Không đủ dữ liệu</t>
        </is>
      </c>
      <c r="P24" s="10" t="inlineStr">
        <is>
          <t>—</t>
        </is>
      </c>
      <c r="Q24" s="10" t="inlineStr">
        <is>
          <t>Không tìm thấy nguồn. Suy luận như Cung (chưa xác minh).</t>
        </is>
      </c>
    </row>
    <row r="25">
      <c r="A25" s="10" t="n">
        <v>21</v>
      </c>
      <c r="B25" s="11" t="inlineStr">
        <is>
          <t>MK20H</t>
        </is>
      </c>
      <c r="C25" s="10" t="inlineStr">
        <is>
          <t>Mk20-H (FN SSR theo IMFDB)</t>
        </is>
      </c>
      <c r="D25" s="10" t="inlineStr">
        <is>
          <t>Súng trường xạ thủ (DMR)</t>
        </is>
      </c>
      <c r="E25" s="15" t="inlineStr">
        <is>
          <t>Chưa tìm thấy</t>
        </is>
      </c>
      <c r="F25" s="10" t="inlineStr">
        <is>
          <t>—</t>
        </is>
      </c>
      <c r="G25" s="10" t="inlineStr">
        <is>
          <t>—</t>
        </is>
      </c>
      <c r="H25" s="10" t="inlineStr">
        <is>
          <t>—</t>
        </is>
      </c>
      <c r="I25" s="10" t="inlineStr">
        <is>
          <t>—</t>
        </is>
      </c>
      <c r="J25" s="10" t="inlineStr">
        <is>
          <t>—</t>
        </is>
      </c>
      <c r="K25" s="10" t="inlineStr"/>
      <c r="L25" s="10" t="inlineStr"/>
      <c r="M25" s="10" t="inlineStr"/>
      <c r="N25" s="10" t="inlineStr"/>
      <c r="O25" s="10" t="inlineStr">
        <is>
          <t>Không đủ dữ liệu</t>
        </is>
      </c>
      <c r="P25" s="10" t="inlineStr">
        <is>
          <t>—</t>
        </is>
      </c>
      <c r="Q25" s="10" t="inlineStr">
        <is>
          <t>Không tìm thấy dữ liệu phụ kiện.</t>
        </is>
      </c>
    </row>
    <row r="26">
      <c r="A26" s="10" t="n">
        <v>22</v>
      </c>
      <c r="B26" s="11" t="inlineStr">
        <is>
          <t>M200</t>
        </is>
      </c>
      <c r="C26" s="10" t="inlineStr">
        <is>
          <t>M200 (suy từ mã)</t>
        </is>
      </c>
      <c r="D26" s="10" t="inlineStr">
        <is>
          <t>Súng bắn tỉa (SR)</t>
        </is>
      </c>
      <c r="E26" s="15" t="inlineStr">
        <is>
          <t>Chưa tìm thấy</t>
        </is>
      </c>
      <c r="F26" s="10" t="inlineStr">
        <is>
          <t>—</t>
        </is>
      </c>
      <c r="G26" s="10" t="inlineStr">
        <is>
          <t>—</t>
        </is>
      </c>
      <c r="H26" s="10" t="inlineStr">
        <is>
          <t>—</t>
        </is>
      </c>
      <c r="I26" s="10" t="inlineStr">
        <is>
          <t>—</t>
        </is>
      </c>
      <c r="J26" s="10" t="inlineStr">
        <is>
          <t>—</t>
        </is>
      </c>
      <c r="K26" s="10" t="inlineStr"/>
      <c r="L26" s="10" t="inlineStr"/>
      <c r="M26" s="10" t="inlineStr"/>
      <c r="N26" s="10" t="inlineStr"/>
      <c r="O26" s="10" t="inlineStr">
        <is>
          <t>Không đủ dữ liệu</t>
        </is>
      </c>
      <c r="P26" s="10" t="inlineStr">
        <is>
          <t>—</t>
        </is>
      </c>
      <c r="Q26" s="10" t="inlineStr">
        <is>
          <t>Không tìm thấy nguồn (danh sách ốp má của bản PC không có M200).</t>
        </is>
      </c>
    </row>
    <row r="27">
      <c r="A27" s="10" t="n">
        <v>23</v>
      </c>
      <c r="B27" s="11" t="inlineStr">
        <is>
          <t>SHIELD</t>
        </is>
      </c>
      <c r="C27" s="10" t="inlineStr">
        <is>
          <t>Khiên (Shield)</t>
        </is>
      </c>
      <c r="D27" s="10" t="inlineStr">
        <is>
          <t>Trang bị</t>
        </is>
      </c>
      <c r="E27" s="12" t="inlineStr">
        <is>
          <t>Không áp dụng</t>
        </is>
      </c>
      <c r="F27" s="10" t="inlineStr">
        <is>
          <t>—</t>
        </is>
      </c>
      <c r="G27" s="10" t="inlineStr">
        <is>
          <t>—</t>
        </is>
      </c>
      <c r="H27" s="10" t="inlineStr">
        <is>
          <t>—</t>
        </is>
      </c>
      <c r="I27" s="10" t="inlineStr">
        <is>
          <t>—</t>
        </is>
      </c>
      <c r="J27" s="10" t="inlineStr">
        <is>
          <t>—</t>
        </is>
      </c>
      <c r="K27" s="10" t="inlineStr"/>
      <c r="L27" s="10" t="inlineStr"/>
      <c r="M27" s="10" t="inlineStr"/>
      <c r="N27" s="10" t="inlineStr"/>
      <c r="O27" s="10" t="inlineStr">
        <is>
          <t>Không áp dụng</t>
        </is>
      </c>
      <c r="P27" s="10" t="inlineStr">
        <is>
          <t>—</t>
        </is>
      </c>
      <c r="Q27" s="10" t="inlineStr">
        <is>
          <t>Không phải súng, không có khe phụ kiện.</t>
        </is>
      </c>
    </row>
    <row r="28">
      <c r="A28" s="10" t="n">
        <v>24</v>
      </c>
      <c r="B28" s="11" t="inlineStr">
        <is>
          <t>AA12G</t>
        </is>
      </c>
      <c r="C28" s="10" t="inlineStr">
        <is>
          <t>AA-12 (suy từ mã)</t>
        </is>
      </c>
      <c r="D28" s="10" t="inlineStr">
        <is>
          <t>Shotgun (SG)</t>
        </is>
      </c>
      <c r="E28" s="15" t="inlineStr">
        <is>
          <t>Chưa tìm thấy</t>
        </is>
      </c>
      <c r="F28" s="10" t="inlineStr">
        <is>
          <t>—</t>
        </is>
      </c>
      <c r="G28" s="10" t="inlineStr">
        <is>
          <t>—</t>
        </is>
      </c>
      <c r="H28" s="10" t="inlineStr">
        <is>
          <t>—</t>
        </is>
      </c>
      <c r="I28" s="10" t="inlineStr">
        <is>
          <t>—</t>
        </is>
      </c>
      <c r="J28" s="10" t="inlineStr">
        <is>
          <t>—</t>
        </is>
      </c>
      <c r="K28" s="10" t="inlineStr"/>
      <c r="L28" s="10" t="inlineStr"/>
      <c r="M28" s="10" t="inlineStr"/>
      <c r="N28" s="10" t="inlineStr"/>
      <c r="O28" s="10" t="inlineStr">
        <is>
          <t>Không đủ dữ liệu</t>
        </is>
      </c>
      <c r="P28" s="10" t="inlineStr">
        <is>
          <t>—</t>
        </is>
      </c>
      <c r="Q28" s="10" t="inlineStr">
        <is>
          <t>Không tìm thấy nguồn cho bản mobile (bản PC liệt kê O12).</t>
        </is>
      </c>
    </row>
    <row r="29">
      <c r="A29" s="10" t="n">
        <v>25</v>
      </c>
      <c r="B29" s="11" t="inlineStr">
        <is>
          <t>AKS</t>
        </is>
      </c>
      <c r="C29" s="10" t="inlineStr">
        <is>
          <t>AKS-74U (suy từ mã)</t>
        </is>
      </c>
      <c r="D29" s="10" t="inlineStr">
        <is>
          <t>Súng trường tấn công (AR)</t>
        </is>
      </c>
      <c r="E29" s="15" t="inlineStr">
        <is>
          <t>Chưa tìm thấy</t>
        </is>
      </c>
      <c r="F29" s="10" t="inlineStr">
        <is>
          <t>—</t>
        </is>
      </c>
      <c r="G29" s="10" t="inlineStr">
        <is>
          <t>—</t>
        </is>
      </c>
      <c r="H29" s="10" t="inlineStr">
        <is>
          <t>—</t>
        </is>
      </c>
      <c r="I29" s="10" t="inlineStr">
        <is>
          <t>—</t>
        </is>
      </c>
      <c r="J29" s="10" t="inlineStr">
        <is>
          <t>—</t>
        </is>
      </c>
      <c r="K29" s="10" t="inlineStr"/>
      <c r="L29" s="10" t="inlineStr"/>
      <c r="M29" s="10" t="inlineStr"/>
      <c r="N29" s="10" t="inlineStr"/>
      <c r="O29" s="10" t="inlineStr">
        <is>
          <t>Không đủ dữ liệu</t>
        </is>
      </c>
      <c r="P29" s="10" t="inlineStr">
        <is>
          <t>—</t>
        </is>
      </c>
      <c r="Q29" s="10" t="inlineStr">
        <is>
          <t>Không tìm thấy nguồn.</t>
        </is>
      </c>
    </row>
    <row r="30">
      <c r="A30" s="10" t="n">
        <v>26</v>
      </c>
      <c r="B30" s="11" t="inlineStr">
        <is>
          <t>FireCompositeBow</t>
        </is>
      </c>
      <c r="C30" s="10" t="inlineStr">
        <is>
          <t>Cung hỗn hợp lửa (Fire Composite Bow)</t>
        </is>
      </c>
      <c r="D30" s="10" t="inlineStr">
        <is>
          <t>Cung</t>
        </is>
      </c>
      <c r="E30" s="15" t="inlineStr">
        <is>
          <t>Chưa tìm thấy</t>
        </is>
      </c>
      <c r="F30" s="10" t="inlineStr">
        <is>
          <t>—</t>
        </is>
      </c>
      <c r="G30" s="10" t="inlineStr">
        <is>
          <t>—</t>
        </is>
      </c>
      <c r="H30" s="10" t="inlineStr">
        <is>
          <t>—</t>
        </is>
      </c>
      <c r="I30" s="10" t="inlineStr">
        <is>
          <t>—</t>
        </is>
      </c>
      <c r="J30" s="10" t="inlineStr">
        <is>
          <t>—</t>
        </is>
      </c>
      <c r="K30" s="10" t="inlineStr"/>
      <c r="L30" s="10" t="inlineStr"/>
      <c r="M30" s="10" t="inlineStr"/>
      <c r="N30" s="10" t="inlineStr"/>
      <c r="O30" s="10" t="inlineStr">
        <is>
          <t>Không đủ dữ liệu</t>
        </is>
      </c>
      <c r="P30" s="10" t="inlineStr">
        <is>
          <t>—</t>
        </is>
      </c>
      <c r="Q30" s="10" t="inlineStr">
        <is>
          <t>Không tìm thấy nguồn.</t>
        </is>
      </c>
    </row>
    <row r="31">
      <c r="A31" s="10" t="n">
        <v>27</v>
      </c>
      <c r="B31" s="11" t="inlineStr">
        <is>
          <t>SVD</t>
        </is>
      </c>
      <c r="C31" s="10" t="inlineStr">
        <is>
          <t>SVD Dragunov</t>
        </is>
      </c>
      <c r="D31" s="10" t="inlineStr">
        <is>
          <t>Súng trường xạ thủ (DMR)</t>
        </is>
      </c>
      <c r="E31" s="15" t="inlineStr">
        <is>
          <t>Chưa tìm thấy</t>
        </is>
      </c>
      <c r="F31" s="10" t="inlineStr">
        <is>
          <t>—</t>
        </is>
      </c>
      <c r="G31" s="10" t="inlineStr">
        <is>
          <t>—</t>
        </is>
      </c>
      <c r="H31" s="10" t="inlineStr">
        <is>
          <t>—</t>
        </is>
      </c>
      <c r="I31" s="10" t="inlineStr">
        <is>
          <t>—</t>
        </is>
      </c>
      <c r="J31" s="10" t="inlineStr">
        <is>
          <t>—</t>
        </is>
      </c>
      <c r="K31" s="10" t="inlineStr"/>
      <c r="L31" s="10" t="inlineStr"/>
      <c r="M31" s="10" t="inlineStr"/>
      <c r="N31" s="10" t="inlineStr"/>
      <c r="O31" s="10" t="inlineStr">
        <is>
          <t>Không đủ dữ liệu</t>
        </is>
      </c>
      <c r="P31" s="10" t="inlineStr">
        <is>
          <t>—</t>
        </is>
      </c>
      <c r="Q31" s="10" t="inlineStr">
        <is>
          <t>Không có dữ liệu mobile; danh sách ốp má của bản PC có "Dragunov" (suy luận, chưa xác minh).</t>
        </is>
      </c>
    </row>
    <row r="32">
      <c r="A32" s="10" t="n">
        <v>28</v>
      </c>
      <c r="B32" s="11" t="inlineStr">
        <is>
          <t>MG36</t>
        </is>
      </c>
      <c r="C32" s="10" t="inlineStr">
        <is>
          <t>MG36</t>
        </is>
      </c>
      <c r="D32" s="10" t="inlineStr">
        <is>
          <t>Súng máy (LMG)</t>
        </is>
      </c>
      <c r="E32" s="15" t="inlineStr">
        <is>
          <t>Chưa tìm thấy</t>
        </is>
      </c>
      <c r="F32" s="10" t="inlineStr">
        <is>
          <t>—</t>
        </is>
      </c>
      <c r="G32" s="10" t="inlineStr">
        <is>
          <t>—</t>
        </is>
      </c>
      <c r="H32" s="10" t="inlineStr">
        <is>
          <t>—</t>
        </is>
      </c>
      <c r="I32" s="10" t="inlineStr">
        <is>
          <t>—</t>
        </is>
      </c>
      <c r="J32" s="10" t="inlineStr">
        <is>
          <t>—</t>
        </is>
      </c>
      <c r="K32" s="10" t="inlineStr"/>
      <c r="L32" s="10" t="inlineStr"/>
      <c r="M32" s="10" t="inlineStr"/>
      <c r="N32" s="10" t="inlineStr"/>
      <c r="O32" s="10" t="inlineStr">
        <is>
          <t>Không đủ dữ liệu</t>
        </is>
      </c>
      <c r="P32" s="10" t="inlineStr">
        <is>
          <t>—</t>
        </is>
      </c>
      <c r="Q32" s="10" t="inlineStr">
        <is>
          <t>Không tìm thấy nguồn cho 和平精英/PUBG Mobile (kết quả đều của game khác).</t>
        </is>
      </c>
    </row>
    <row r="33">
      <c r="A33" s="10" t="n">
        <v>29</v>
      </c>
      <c r="B33" s="11" t="inlineStr">
        <is>
          <t>MORTAR</t>
        </is>
      </c>
      <c r="C33" s="10" t="inlineStr">
        <is>
          <t>Cối (Mortar)</t>
        </is>
      </c>
      <c r="D33" s="10" t="inlineStr">
        <is>
          <t>Trang bị</t>
        </is>
      </c>
      <c r="E33" s="12" t="inlineStr">
        <is>
          <t>Không áp dụng</t>
        </is>
      </c>
      <c r="F33" s="10" t="inlineStr">
        <is>
          <t>—</t>
        </is>
      </c>
      <c r="G33" s="10" t="inlineStr">
        <is>
          <t>—</t>
        </is>
      </c>
      <c r="H33" s="10" t="inlineStr">
        <is>
          <t>—</t>
        </is>
      </c>
      <c r="I33" s="10" t="inlineStr">
        <is>
          <t>—</t>
        </is>
      </c>
      <c r="J33" s="10" t="inlineStr">
        <is>
          <t>—</t>
        </is>
      </c>
      <c r="K33" s="10" t="inlineStr"/>
      <c r="L33" s="10" t="inlineStr"/>
      <c r="M33" s="10" t="inlineStr"/>
      <c r="N33" s="10" t="inlineStr"/>
      <c r="O33" s="10" t="inlineStr">
        <is>
          <t>Không áp dụng</t>
        </is>
      </c>
      <c r="P33" s="10" t="inlineStr">
        <is>
          <t>—</t>
        </is>
      </c>
      <c r="Q33" s="10" t="inlineStr">
        <is>
          <t>Không phải súng. App đã xử lý là súng luôn bằng 0.</t>
        </is>
      </c>
    </row>
    <row r="34">
      <c r="A34" s="10" t="n">
        <v>30</v>
      </c>
      <c r="B34" s="11" t="inlineStr">
        <is>
          <t>JS9</t>
        </is>
      </c>
      <c r="C34" s="10" t="inlineStr">
        <is>
          <t>JS9</t>
        </is>
      </c>
      <c r="D34" s="10" t="inlineStr">
        <is>
          <t>Súng tiểu liên (SMG)</t>
        </is>
      </c>
      <c r="E34" s="16" t="inlineStr">
        <is>
          <t>Thấp</t>
        </is>
      </c>
      <c r="F34" s="10" t="inlineStr">
        <is>
          <t>Hãm giật, Ẩn tia lửa, Giảm thanh (bản PUBG PC)</t>
        </is>
      </c>
      <c r="G34" s="10" t="inlineStr">
        <is>
          <t>Không thấy</t>
        </is>
      </c>
      <c r="H34" s="10" t="inlineStr">
        <is>
          <t>Chưa rõ</t>
        </is>
      </c>
      <c r="I34" s="10" t="inlineStr">
        <is>
          <t>Có ống ngắm (chưa rõ mức)</t>
        </is>
      </c>
      <c r="J34" s="10" t="inlineStr">
        <is>
          <t>Có băng đạn</t>
        </is>
      </c>
      <c r="K34" s="10" t="inlineStr"/>
      <c r="L34" s="10" t="inlineStr"/>
      <c r="M34" s="10" t="inlineStr"/>
      <c r="N34" s="10" t="inlineStr"/>
      <c r="O34" s="10" t="inlineStr">
        <is>
          <t>Không đủ dữ liệu</t>
        </is>
      </c>
      <c r="P34" s="10" t="inlineStr">
        <is>
          <t>Dexerto wiki (PUBG PC, không phải bản mobile)</t>
        </is>
      </c>
      <c r="Q34" s="10" t="inlineStr">
        <is>
          <t>Dữ liệu từ PUBG PC, không áp dụng chắc chắn cho 和平精英/PUBG Mobile.</t>
        </is>
      </c>
    </row>
    <row r="35">
      <c r="A35" s="10" t="n">
        <v>31</v>
      </c>
      <c r="B35" s="11" t="inlineStr">
        <is>
          <t>M1</t>
        </is>
      </c>
      <c r="C35" s="10" t="inlineStr">
        <is>
          <t>M1 (M1 Garand theo IMFDB)</t>
        </is>
      </c>
      <c r="D35" s="10" t="inlineStr">
        <is>
          <t>Súng trường</t>
        </is>
      </c>
      <c r="E35" s="15" t="inlineStr">
        <is>
          <t>Chưa tìm thấy</t>
        </is>
      </c>
      <c r="F35" s="10" t="inlineStr">
        <is>
          <t>—</t>
        </is>
      </c>
      <c r="G35" s="10" t="inlineStr">
        <is>
          <t>—</t>
        </is>
      </c>
      <c r="H35" s="10" t="inlineStr">
        <is>
          <t>—</t>
        </is>
      </c>
      <c r="I35" s="10" t="inlineStr">
        <is>
          <t>—</t>
        </is>
      </c>
      <c r="J35" s="10" t="inlineStr">
        <is>
          <t>—</t>
        </is>
      </c>
      <c r="K35" s="10" t="inlineStr"/>
      <c r="L35" s="10" t="inlineStr"/>
      <c r="M35" s="10" t="inlineStr"/>
      <c r="N35" s="10" t="inlineStr"/>
      <c r="O35" s="10" t="inlineStr">
        <is>
          <t>Không đủ dữ liệu</t>
        </is>
      </c>
      <c r="P35" s="10" t="inlineStr">
        <is>
          <t>—</t>
        </is>
      </c>
      <c r="Q35" s="10" t="inlineStr">
        <is>
          <t>Không tìm thấy dữ liệu phụ kiện.</t>
        </is>
      </c>
    </row>
    <row r="36">
      <c r="A36" s="10" t="n">
        <v>32</v>
      </c>
      <c r="B36" s="11" t="inlineStr">
        <is>
          <t>ARX</t>
        </is>
      </c>
      <c r="C36" s="10" t="inlineStr">
        <is>
          <t>ARX160 (suy từ mã)</t>
        </is>
      </c>
      <c r="D36" s="10" t="inlineStr">
        <is>
          <t>Súng trường tấn công (AR)</t>
        </is>
      </c>
      <c r="E36" s="15" t="inlineStr">
        <is>
          <t>Chưa tìm thấy</t>
        </is>
      </c>
      <c r="F36" s="10" t="inlineStr">
        <is>
          <t>—</t>
        </is>
      </c>
      <c r="G36" s="10" t="inlineStr">
        <is>
          <t>—</t>
        </is>
      </c>
      <c r="H36" s="10" t="inlineStr">
        <is>
          <t>—</t>
        </is>
      </c>
      <c r="I36" s="10" t="inlineStr">
        <is>
          <t>—</t>
        </is>
      </c>
      <c r="J36" s="10" t="inlineStr">
        <is>
          <t>—</t>
        </is>
      </c>
      <c r="K36" s="10" t="inlineStr"/>
      <c r="L36" s="10" t="inlineStr"/>
      <c r="M36" s="10" t="inlineStr"/>
      <c r="N36" s="10" t="inlineStr"/>
      <c r="O36" s="10" t="inlineStr">
        <is>
          <t>Không đủ dữ liệu</t>
        </is>
      </c>
      <c r="P36" s="10" t="inlineStr">
        <is>
          <t>—</t>
        </is>
      </c>
      <c r="Q36" s="10" t="inlineStr">
        <is>
          <t>Không tìm thấy nguồn.</t>
        </is>
      </c>
    </row>
    <row r="37">
      <c r="A37" s="10" t="n">
        <v>33</v>
      </c>
      <c r="B37" s="11" t="inlineStr">
        <is>
          <t>ABAKAN</t>
        </is>
      </c>
      <c r="C37" s="10" t="inlineStr">
        <is>
          <t>AN-94 Abakan</t>
        </is>
      </c>
      <c r="D37" s="10" t="inlineStr">
        <is>
          <t>Súng trường tấn công (AR)</t>
        </is>
      </c>
      <c r="E37" s="15" t="inlineStr">
        <is>
          <t>Chưa tìm thấy</t>
        </is>
      </c>
      <c r="F37" s="10" t="inlineStr">
        <is>
          <t>—</t>
        </is>
      </c>
      <c r="G37" s="10" t="inlineStr">
        <is>
          <t>—</t>
        </is>
      </c>
      <c r="H37" s="10" t="inlineStr">
        <is>
          <t>—</t>
        </is>
      </c>
      <c r="I37" s="10" t="inlineStr">
        <is>
          <t>—</t>
        </is>
      </c>
      <c r="J37" s="10" t="inlineStr">
        <is>
          <t>—</t>
        </is>
      </c>
      <c r="K37" s="10" t="inlineStr"/>
      <c r="L37" s="10" t="inlineStr"/>
      <c r="M37" s="10" t="inlineStr"/>
      <c r="N37" s="10" t="inlineStr"/>
      <c r="O37" s="10" t="inlineStr">
        <is>
          <t>Không đủ dữ liệu</t>
        </is>
      </c>
      <c r="P37" s="10" t="inlineStr">
        <is>
          <t>—</t>
        </is>
      </c>
      <c r="Q37" s="10" t="inlineStr">
        <is>
          <t>Không tìm thấy dữ liệu phụ kiện.</t>
        </is>
      </c>
    </row>
    <row r="38">
      <c r="A38" s="10" t="n">
        <v>34</v>
      </c>
      <c r="B38" s="11" t="inlineStr">
        <is>
          <t>M338</t>
        </is>
      </c>
      <c r="C38" s="10" t="inlineStr">
        <is>
          <t>M338 (SIG MG 338 theo IMFDB)</t>
        </is>
      </c>
      <c r="D38" s="10" t="inlineStr">
        <is>
          <t>Súng máy (LMG)</t>
        </is>
      </c>
      <c r="E38" s="15" t="inlineStr">
        <is>
          <t>Chưa tìm thấy</t>
        </is>
      </c>
      <c r="F38" s="10" t="inlineStr">
        <is>
          <t>—</t>
        </is>
      </c>
      <c r="G38" s="10" t="inlineStr">
        <is>
          <t>—</t>
        </is>
      </c>
      <c r="H38" s="10" t="inlineStr">
        <is>
          <t>—</t>
        </is>
      </c>
      <c r="I38" s="10" t="inlineStr">
        <is>
          <t>—</t>
        </is>
      </c>
      <c r="J38" s="10" t="inlineStr">
        <is>
          <t>—</t>
        </is>
      </c>
      <c r="K38" s="10" t="inlineStr"/>
      <c r="L38" s="10" t="inlineStr"/>
      <c r="M38" s="10" t="inlineStr"/>
      <c r="N38" s="10" t="inlineStr"/>
      <c r="O38" s="10" t="inlineStr">
        <is>
          <t>Không đủ dữ liệu</t>
        </is>
      </c>
      <c r="P38" s="10" t="inlineStr">
        <is>
          <t>—</t>
        </is>
      </c>
      <c r="Q38" s="10" t="inlineStr">
        <is>
          <t>Không tìm thấy dữ liệu phụ kiện.</t>
        </is>
      </c>
    </row>
    <row r="39">
      <c r="A39" s="10" t="n">
        <v>35</v>
      </c>
      <c r="B39" s="11" t="inlineStr">
        <is>
          <t>MP7</t>
        </is>
      </c>
      <c r="C39" s="10" t="inlineStr">
        <is>
          <t>MP7 (HK MP7A2)</t>
        </is>
      </c>
      <c r="D39" s="10" t="inlineStr">
        <is>
          <t>Súng tiểu liên (SMG)</t>
        </is>
      </c>
      <c r="E39" s="15" t="inlineStr">
        <is>
          <t>Chưa tìm thấy</t>
        </is>
      </c>
      <c r="F39" s="10" t="inlineStr">
        <is>
          <t>—</t>
        </is>
      </c>
      <c r="G39" s="10" t="inlineStr">
        <is>
          <t>—</t>
        </is>
      </c>
      <c r="H39" s="10" t="inlineStr">
        <is>
          <t>—</t>
        </is>
      </c>
      <c r="I39" s="10" t="inlineStr">
        <is>
          <t>—</t>
        </is>
      </c>
      <c r="J39" s="10" t="inlineStr">
        <is>
          <t>—</t>
        </is>
      </c>
      <c r="K39" s="10" t="inlineStr"/>
      <c r="L39" s="10" t="inlineStr"/>
      <c r="M39" s="10" t="inlineStr"/>
      <c r="N39" s="10" t="inlineStr"/>
      <c r="O39" s="10" t="inlineStr">
        <is>
          <t>Không đủ dữ liệu</t>
        </is>
      </c>
      <c r="P39" s="10" t="inlineStr">
        <is>
          <t>—</t>
        </is>
      </c>
      <c r="Q39" s="10" t="inlineStr">
        <is>
          <t>IMFDB: thêm vào khe súng ngắn (cầm hai tay). Không có dữ liệu phụ kiện.</t>
        </is>
      </c>
    </row>
    <row r="40">
      <c r="A40" s="10" t="n">
        <v>36</v>
      </c>
      <c r="B40" s="11" t="inlineStr">
        <is>
          <t>AS50</t>
        </is>
      </c>
      <c r="C40" s="10" t="inlineStr">
        <is>
          <t>AS50</t>
        </is>
      </c>
      <c r="D40" s="10" t="inlineStr">
        <is>
          <t>Súng bắn tỉa (SR)</t>
        </is>
      </c>
      <c r="E40" s="15" t="inlineStr">
        <is>
          <t>Chưa tìm thấy</t>
        </is>
      </c>
      <c r="F40" s="10" t="inlineStr">
        <is>
          <t>—</t>
        </is>
      </c>
      <c r="G40" s="10" t="inlineStr">
        <is>
          <t>—</t>
        </is>
      </c>
      <c r="H40" s="10" t="inlineStr">
        <is>
          <t>—</t>
        </is>
      </c>
      <c r="I40" s="10" t="inlineStr">
        <is>
          <t>—</t>
        </is>
      </c>
      <c r="J40" s="10" t="inlineStr">
        <is>
          <t>—</t>
        </is>
      </c>
      <c r="K40" s="10" t="inlineStr"/>
      <c r="L40" s="10" t="inlineStr"/>
      <c r="M40" s="10" t="inlineStr"/>
      <c r="N40" s="10" t="inlineStr"/>
      <c r="O40" s="10" t="inlineStr">
        <is>
          <t>Không đủ dữ liệu</t>
        </is>
      </c>
      <c r="P40" s="10" t="inlineStr">
        <is>
          <t>—</t>
        </is>
      </c>
      <c r="Q40" s="10" t="inlineStr">
        <is>
          <t>Không tìm thấy nguồn đáng tin (một kết quả tìm kiếm nói có ống ngắm/băng đạn/ốp má/ống ngắm bên nhưng không kiểm chứng được).</t>
        </is>
      </c>
    </row>
    <row r="41">
      <c r="A41" s="10" t="n">
        <v>37</v>
      </c>
      <c r="B41" s="11" t="inlineStr">
        <is>
          <t>MG97</t>
        </is>
      </c>
      <c r="C41" s="10" t="inlineStr">
        <is>
          <t>MG97 (chưa nhận diện)</t>
        </is>
      </c>
      <c r="D41" s="10" t="inlineStr">
        <is>
          <t>Chưa rõ</t>
        </is>
      </c>
      <c r="E41" s="15" t="inlineStr">
        <is>
          <t>Chưa tìm thấy</t>
        </is>
      </c>
      <c r="F41" s="10" t="inlineStr">
        <is>
          <t>—</t>
        </is>
      </c>
      <c r="G41" s="10" t="inlineStr">
        <is>
          <t>—</t>
        </is>
      </c>
      <c r="H41" s="10" t="inlineStr">
        <is>
          <t>—</t>
        </is>
      </c>
      <c r="I41" s="10" t="inlineStr">
        <is>
          <t>—</t>
        </is>
      </c>
      <c r="J41" s="10" t="inlineStr">
        <is>
          <t>—</t>
        </is>
      </c>
      <c r="K41" s="10" t="inlineStr"/>
      <c r="L41" s="10" t="inlineStr"/>
      <c r="M41" s="10" t="inlineStr"/>
      <c r="N41" s="10" t="inlineStr"/>
      <c r="O41" s="10" t="inlineStr">
        <is>
          <t>Không đủ dữ liệu</t>
        </is>
      </c>
      <c r="P41" s="10" t="inlineStr">
        <is>
          <t>—</t>
        </is>
      </c>
      <c r="Q41" s="10" t="inlineStr">
        <is>
          <t>Không tìm thấy nguồn nào.</t>
        </is>
      </c>
    </row>
    <row r="42">
      <c r="A42" s="10" t="n">
        <v>38</v>
      </c>
      <c r="B42" s="11" t="inlineStr">
        <is>
          <t>ChiXiao</t>
        </is>
      </c>
      <c r="C42" s="10" t="inlineStr">
        <is>
          <t>赤霄 (Xích Tiêu)</t>
        </is>
      </c>
      <c r="D42" s="10" t="inlineStr">
        <is>
          <t>Chưa rõ</t>
        </is>
      </c>
      <c r="E42" s="15" t="inlineStr">
        <is>
          <t>Chưa tìm thấy</t>
        </is>
      </c>
      <c r="F42" s="10" t="inlineStr">
        <is>
          <t>—</t>
        </is>
      </c>
      <c r="G42" s="10" t="inlineStr">
        <is>
          <t>—</t>
        </is>
      </c>
      <c r="H42" s="10" t="inlineStr">
        <is>
          <t>—</t>
        </is>
      </c>
      <c r="I42" s="10" t="inlineStr">
        <is>
          <t>—</t>
        </is>
      </c>
      <c r="J42" s="10" t="inlineStr">
        <is>
          <t>—</t>
        </is>
      </c>
      <c r="K42" s="10" t="inlineStr"/>
      <c r="L42" s="10" t="inlineStr"/>
      <c r="M42" s="10" t="inlineStr"/>
      <c r="N42" s="10" t="inlineStr"/>
      <c r="O42" s="10" t="inlineStr">
        <is>
          <t>Không đủ dữ liệu</t>
        </is>
      </c>
      <c r="P42" s="10" t="inlineStr">
        <is>
          <t>—</t>
        </is>
      </c>
      <c r="Q42" s="10" t="inlineStr">
        <is>
          <t>Không tìm thấy nguồn nào.</t>
        </is>
      </c>
    </row>
  </sheetData>
  <autoFilter ref="A4:Q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6" customWidth="1" min="3" max="3"/>
    <col width="34" customWidth="1" min="4" max="4"/>
    <col width="18" customWidth="1" min="5" max="5"/>
    <col width="12" customWidth="1" min="6" max="6"/>
    <col width="24" customWidth="1" min="7" max="7"/>
    <col width="26" customWidth="1" min="8" max="8"/>
    <col width="34" customWidth="1" min="9" max="9"/>
    <col width="18" customWidth="1" min="10" max="10"/>
    <col width="12" customWidth="1" min="11" max="11"/>
    <col width="9" customWidth="1" min="12" max="12"/>
    <col width="9" customWidth="1" min="13" max="13"/>
    <col width="9" customWidth="1" min="14" max="14"/>
    <col width="9" customWidth="1" min="15" max="15"/>
    <col width="70" customWidth="1" min="16" max="16"/>
    <col width="40" customWidth="1" min="17" max="17"/>
  </cols>
  <sheetData>
    <row r="1">
      <c r="A1" s="1" t="inlineStr">
        <is>
          <t>Đối chiếu bảng của bạn (30 súng) với dữ liệu chính thức 和平精英 của Tencent</t>
        </is>
      </c>
    </row>
    <row r="2">
      <c r="A2" s="2" t="inlineStr">
        <is>
          <t>Cột L–O là công thức: "Khớp" hoặc "KHÁC". Súng không có trong dữ liệu chính thức (ACE32, FAMAS, MK12) so với AppMedia nếu có. Đây chỉ là đề xuất, chưa áp dụng vào app.</t>
        </is>
      </c>
    </row>
    <row r="4" ht="44" customHeight="1">
      <c r="A4" s="9" t="inlineStr">
        <is>
          <t>Mã (app)</t>
        </is>
      </c>
      <c r="B4" s="9" t="inlineStr">
        <is>
          <t>Tên</t>
        </is>
      </c>
      <c r="C4" s="9" t="inlineStr">
        <is>
          <t>Nòng (bảng hiện tại)</t>
        </is>
      </c>
      <c r="D4" s="9" t="inlineStr">
        <is>
          <t>Tay cầm (hiện tại)</t>
        </is>
      </c>
      <c r="E4" s="9" t="inlineStr">
        <is>
          <t>Báng (hiện tại)</t>
        </is>
      </c>
      <c r="F4" s="9" t="inlineStr">
        <is>
          <t>Ống ngắm ≤ (hiện tại)</t>
        </is>
      </c>
      <c r="G4" s="9" t="inlineStr">
        <is>
          <t>Nguồn đối chiếu</t>
        </is>
      </c>
      <c r="H4" s="9" t="inlineStr">
        <is>
          <t>Nòng (nguồn)</t>
        </is>
      </c>
      <c r="I4" s="9" t="inlineStr">
        <is>
          <t>Tay cầm (nguồn)</t>
        </is>
      </c>
      <c r="J4" s="9" t="inlineStr">
        <is>
          <t>Báng (nguồn)</t>
        </is>
      </c>
      <c r="K4" s="9" t="inlineStr">
        <is>
          <t>Ống ngắm ≤ (nguồn)</t>
        </is>
      </c>
      <c r="L4" s="9" t="inlineStr">
        <is>
          <t>Nòng?</t>
        </is>
      </c>
      <c r="M4" s="9" t="inlineStr">
        <is>
          <t>Tay cầm?</t>
        </is>
      </c>
      <c r="N4" s="9" t="inlineStr">
        <is>
          <t>Báng?</t>
        </is>
      </c>
      <c r="O4" s="9" t="inlineStr">
        <is>
          <t>Ống ngắm?</t>
        </is>
      </c>
      <c r="P4" s="9" t="inlineStr">
        <is>
          <t>Khác biệt cụ thể</t>
        </is>
      </c>
      <c r="Q4" s="9" t="inlineStr">
        <is>
          <t>Đề xuất</t>
        </is>
      </c>
    </row>
    <row r="5">
      <c r="A5" s="10" t="inlineStr">
        <is>
          <t>M416</t>
        </is>
      </c>
      <c r="B5" s="10" t="inlineStr">
        <is>
          <t>M416</t>
        </is>
      </c>
      <c r="C5" s="10" t="inlineStr">
        <is>
          <t>COMPENSATOR, FLASH_HIDER, SUPPRESSOR</t>
        </is>
      </c>
      <c r="D5" s="10" t="inlineStr">
        <is>
          <t>HALF, HORIZONTAL, LIGHT, THUMB, VERTICAL</t>
        </is>
      </c>
      <c r="E5" s="10" t="inlineStr">
        <is>
          <t>GENERAL</t>
        </is>
      </c>
      <c r="F5" s="10" t="n">
        <v>6</v>
      </c>
      <c r="G5" s="10" t="inlineStr">
        <is>
          <t>Chính thức 和平精英</t>
        </is>
      </c>
      <c r="H5" s="10" t="inlineStr">
        <is>
          <t>COMPENSATOR, FLASH_HIDER, SUPPRESSOR</t>
        </is>
      </c>
      <c r="I5" s="10" t="inlineStr">
        <is>
          <t>HALF, HORIZONTAL, LASER, LIGHT, THUMB, VERTICAL</t>
        </is>
      </c>
      <c r="J5" s="10" t="inlineStr">
        <is>
          <t>GENERAL</t>
        </is>
      </c>
      <c r="K5" s="10" t="n">
        <v>6</v>
      </c>
      <c r="L5" s="10" t="str">
        <f>IF($G5="Không có nguồn","—",IF(C5=H5,"Khớp","KHÁC"))</f>
        <v>Khớp</v>
      </c>
      <c r="M5" s="10" t="str">
        <f>IF($G5="Không có nguồn","—",IF(D5=I5,"Khớp","KHÁC"))</f>
        <v>KHÁC</v>
      </c>
      <c r="N5" s="10" t="str">
        <f>IF($G5="Không có nguồn","—",IF(E5=J5,"Khớp","KHÁC"))</f>
        <v>Khớp</v>
      </c>
      <c r="O5" s="10" t="str">
        <f>IF($G5="Không có nguồn","—",IF(F5=K5,"Khớp","KHÁC"))</f>
        <v>Khớp</v>
      </c>
      <c r="P5" s="10" t="inlineStr">
        <is>
          <t>Tay cầm: hiện tại HALF, HORIZONTAL, LIGHT, THUMB, VERTICAL, nguồn HALF, HORIZONTAL, LASER, LIGHT, THUMB, VERTICAL</t>
        </is>
      </c>
      <c r="Q5" s="10" t="inlineStr">
        <is>
          <t>Sửa theo nguồn: Tay cầm</t>
        </is>
      </c>
    </row>
    <row r="6">
      <c r="A6" s="10" t="inlineStr">
        <is>
          <t>Scar</t>
        </is>
      </c>
      <c r="B6" s="10" t="inlineStr">
        <is>
          <t>SCAR-L</t>
        </is>
      </c>
      <c r="C6" s="10" t="inlineStr">
        <is>
          <t>COMPENSATOR, FLASH_HIDER, SUPPRESSOR</t>
        </is>
      </c>
      <c r="D6" s="10" t="inlineStr">
        <is>
          <t>HALF, HORIZONTAL, LIGHT, THUMB, VERTICAL</t>
        </is>
      </c>
      <c r="E6" s="10" t="inlineStr">
        <is>
          <t>—</t>
        </is>
      </c>
      <c r="F6" s="10" t="n">
        <v>6</v>
      </c>
      <c r="G6" s="10" t="inlineStr">
        <is>
          <t>Chính thức 和平精英</t>
        </is>
      </c>
      <c r="H6" s="10" t="inlineStr">
        <is>
          <t>COMPENSATOR, FLASH_HIDER, SUPPRESSOR</t>
        </is>
      </c>
      <c r="I6" s="10" t="inlineStr">
        <is>
          <t>HALF, HORIZONTAL, LASER, LIGHT, THUMB, VERTICAL</t>
        </is>
      </c>
      <c r="J6" s="10" t="inlineStr">
        <is>
          <t>—</t>
        </is>
      </c>
      <c r="K6" s="10" t="n">
        <v>6</v>
      </c>
      <c r="L6" s="10" t="str">
        <f>IF($G6="Không có nguồn","—",IF(C6=H6,"Khớp","KHÁC"))</f>
        <v>Khớp</v>
      </c>
      <c r="M6" s="10" t="str">
        <f>IF($G6="Không có nguồn","—",IF(D6=I6,"Khớp","KHÁC"))</f>
        <v>KHÁC</v>
      </c>
      <c r="N6" s="10" t="str">
        <f>IF($G6="Không có nguồn","—",IF(E6=J6,"Khớp","KHÁC"))</f>
        <v>Khớp</v>
      </c>
      <c r="O6" s="10" t="str">
        <f>IF($G6="Không có nguồn","—",IF(F6=K6,"Khớp","KHÁC"))</f>
        <v>Khớp</v>
      </c>
      <c r="P6" s="10" t="inlineStr">
        <is>
          <t>Tay cầm: hiện tại HALF, HORIZONTAL, LIGHT, THUMB, VERTICAL, nguồn HALF, HORIZONTAL, LASER, LIGHT, THUMB, VERTICAL</t>
        </is>
      </c>
      <c r="Q6" s="10" t="inlineStr">
        <is>
          <t>Sửa theo nguồn: Tay cầm</t>
        </is>
      </c>
    </row>
    <row r="7">
      <c r="A7" s="10" t="inlineStr">
        <is>
          <t>G36C</t>
        </is>
      </c>
      <c r="B7" s="10" t="inlineStr">
        <is>
          <t>G36C</t>
        </is>
      </c>
      <c r="C7" s="10" t="inlineStr">
        <is>
          <t>COMPENSATOR, FLASH_HIDER, SUPPRESSOR</t>
        </is>
      </c>
      <c r="D7" s="10" t="inlineStr">
        <is>
          <t>HALF, HORIZONTAL, LIGHT, THUMB, VERTICAL</t>
        </is>
      </c>
      <c r="E7" s="10" t="inlineStr">
        <is>
          <t>—</t>
        </is>
      </c>
      <c r="F7" s="10" t="n">
        <v>6</v>
      </c>
      <c r="G7" s="10" t="inlineStr">
        <is>
          <t>Chính thức 和平精英</t>
        </is>
      </c>
      <c r="H7" s="10" t="inlineStr">
        <is>
          <t>COMPENSATOR, FLASH_HIDER, SUPPRESSOR</t>
        </is>
      </c>
      <c r="I7" s="10" t="inlineStr">
        <is>
          <t>HALF, HORIZONTAL, LASER, LIGHT, THUMB, VERTICAL</t>
        </is>
      </c>
      <c r="J7" s="10" t="inlineStr">
        <is>
          <t>—</t>
        </is>
      </c>
      <c r="K7" s="10" t="n">
        <v>6</v>
      </c>
      <c r="L7" s="10" t="str">
        <f>IF($G7="Không có nguồn","—",IF(C7=H7,"Khớp","KHÁC"))</f>
        <v>Khớp</v>
      </c>
      <c r="M7" s="10" t="str">
        <f>IF($G7="Không có nguồn","—",IF(D7=I7,"Khớp","KHÁC"))</f>
        <v>KHÁC</v>
      </c>
      <c r="N7" s="10" t="str">
        <f>IF($G7="Không có nguồn","—",IF(E7=J7,"Khớp","KHÁC"))</f>
        <v>Khớp</v>
      </c>
      <c r="O7" s="10" t="str">
        <f>IF($G7="Không có nguồn","—",IF(F7=K7,"Khớp","KHÁC"))</f>
        <v>Khớp</v>
      </c>
      <c r="P7" s="10" t="inlineStr">
        <is>
          <t>Tay cầm: hiện tại HALF, HORIZONTAL, LIGHT, THUMB, VERTICAL, nguồn HALF, HORIZONTAL, LASER, LIGHT, THUMB, VERTICAL</t>
        </is>
      </c>
      <c r="Q7" s="10" t="inlineStr">
        <is>
          <t>Sửa theo nguồn: Tay cầm</t>
        </is>
      </c>
    </row>
    <row r="8">
      <c r="A8" s="10" t="inlineStr">
        <is>
          <t>QBZ</t>
        </is>
      </c>
      <c r="B8" s="10" t="inlineStr">
        <is>
          <t>QBZ</t>
        </is>
      </c>
      <c r="C8" s="10" t="inlineStr">
        <is>
          <t>COMPENSATOR, FLASH_HIDER, SUPPRESSOR</t>
        </is>
      </c>
      <c r="D8" s="10" t="inlineStr">
        <is>
          <t>HALF, HORIZONTAL, LIGHT, THUMB, VERTICAL</t>
        </is>
      </c>
      <c r="E8" s="10" t="inlineStr">
        <is>
          <t>—</t>
        </is>
      </c>
      <c r="F8" s="10" t="n">
        <v>6</v>
      </c>
      <c r="G8" s="10" t="inlineStr">
        <is>
          <t>Chính thức 和平精英</t>
        </is>
      </c>
      <c r="H8" s="10" t="inlineStr">
        <is>
          <t>COMPENSATOR, FLASH_HIDER, SUPPRESSOR</t>
        </is>
      </c>
      <c r="I8" s="10" t="inlineStr">
        <is>
          <t>HALF, HORIZONTAL, LASER, LIGHT, THUMB, VERTICAL</t>
        </is>
      </c>
      <c r="J8" s="10" t="inlineStr">
        <is>
          <t>—</t>
        </is>
      </c>
      <c r="K8" s="10" t="n">
        <v>6</v>
      </c>
      <c r="L8" s="10" t="str">
        <f>IF($G8="Không có nguồn","—",IF(C8=H8,"Khớp","KHÁC"))</f>
        <v>Khớp</v>
      </c>
      <c r="M8" s="10" t="str">
        <f>IF($G8="Không có nguồn","—",IF(D8=I8,"Khớp","KHÁC"))</f>
        <v>KHÁC</v>
      </c>
      <c r="N8" s="10" t="str">
        <f>IF($G8="Không có nguồn","—",IF(E8=J8,"Khớp","KHÁC"))</f>
        <v>Khớp</v>
      </c>
      <c r="O8" s="10" t="str">
        <f>IF($G8="Không có nguồn","—",IF(F8=K8,"Khớp","KHÁC"))</f>
        <v>Khớp</v>
      </c>
      <c r="P8" s="10" t="inlineStr">
        <is>
          <t>Tay cầm: hiện tại HALF, HORIZONTAL, LIGHT, THUMB, VERTICAL, nguồn HALF, HORIZONTAL, LASER, LIGHT, THUMB, VERTICAL</t>
        </is>
      </c>
      <c r="Q8" s="10" t="inlineStr">
        <is>
          <t>Sửa theo nguồn: Tay cầm</t>
        </is>
      </c>
    </row>
    <row r="9">
      <c r="A9" s="10" t="inlineStr">
        <is>
          <t>ACE32</t>
        </is>
      </c>
      <c r="B9" s="10" t="inlineStr">
        <is>
          <t>ACE32</t>
        </is>
      </c>
      <c r="C9" s="10" t="inlineStr">
        <is>
          <t>COMPENSATOR, FLASH_HIDER, SUPPRESSOR</t>
        </is>
      </c>
      <c r="D9" s="10" t="inlineStr">
        <is>
          <t>HALF, HORIZONTAL, LIGHT, THUMB, VERTICAL</t>
        </is>
      </c>
      <c r="E9" s="10" t="inlineStr">
        <is>
          <t>—</t>
        </is>
      </c>
      <c r="F9" s="10" t="n">
        <v>6</v>
      </c>
      <c r="G9" s="10" t="inlineStr">
        <is>
          <t>Không có nguồn</t>
        </is>
      </c>
      <c r="H9" s="10" t="inlineStr"/>
      <c r="I9" s="10" t="inlineStr"/>
      <c r="J9" s="10" t="inlineStr"/>
      <c r="K9" s="10" t="inlineStr"/>
      <c r="L9" s="10" t="str">
        <f>IF($G9="Không có nguồn","—",IF(C9=H9,"Khớp","KHÁC"))</f>
        <v>—</v>
      </c>
      <c r="M9" s="10" t="str">
        <f>IF($G9="Không có nguồn","—",IF(D9=I9,"Khớp","KHÁC"))</f>
        <v>—</v>
      </c>
      <c r="N9" s="10" t="str">
        <f>IF($G9="Không có nguồn","—",IF(E9=J9,"Khớp","KHÁC"))</f>
        <v>—</v>
      </c>
      <c r="O9" s="10" t="str">
        <f>IF($G9="Không có nguồn","—",IF(F9=K9,"Khớp","KHÁC"))</f>
        <v>—</v>
      </c>
      <c r="P9" s="10" t="inlineStr"/>
      <c r="Q9" s="10" t="inlineStr">
        <is>
          <t>Giữ nguyên (chưa có nguồn đối chiếu)</t>
        </is>
      </c>
    </row>
    <row r="10">
      <c r="A10" s="10" t="inlineStr">
        <is>
          <t>AUG</t>
        </is>
      </c>
      <c r="B10" s="10" t="inlineStr">
        <is>
          <t>AUG</t>
        </is>
      </c>
      <c r="C10" s="10" t="inlineStr">
        <is>
          <t>COMPENSATOR, FLASH_HIDER, SUPPRESSOR</t>
        </is>
      </c>
      <c r="D10" s="10" t="inlineStr">
        <is>
          <t>HALF, HORIZONTAL, LIGHT, THUMB, VERTICAL</t>
        </is>
      </c>
      <c r="E10" s="10" t="inlineStr">
        <is>
          <t>—</t>
        </is>
      </c>
      <c r="F10" s="10" t="n">
        <v>6</v>
      </c>
      <c r="G10" s="10" t="inlineStr">
        <is>
          <t>Chính thức 和平精英</t>
        </is>
      </c>
      <c r="H10" s="10" t="inlineStr">
        <is>
          <t>COMPENSATOR, FLASH_HIDER, SUPPRESSOR</t>
        </is>
      </c>
      <c r="I10" s="10" t="inlineStr">
        <is>
          <t>HALF, HORIZONTAL, LASER, LIGHT, THUMB, VERTICAL</t>
        </is>
      </c>
      <c r="J10" s="10" t="inlineStr">
        <is>
          <t>—</t>
        </is>
      </c>
      <c r="K10" s="10" t="n">
        <v>6</v>
      </c>
      <c r="L10" s="10" t="str">
        <f>IF($G10="Không có nguồn","—",IF(C10=H10,"Khớp","KHÁC"))</f>
        <v>Khớp</v>
      </c>
      <c r="M10" s="10" t="str">
        <f>IF($G10="Không có nguồn","—",IF(D10=I10,"Khớp","KHÁC"))</f>
        <v>KHÁC</v>
      </c>
      <c r="N10" s="10" t="str">
        <f>IF($G10="Không có nguồn","—",IF(E10=J10,"Khớp","KHÁC"))</f>
        <v>Khớp</v>
      </c>
      <c r="O10" s="10" t="str">
        <f>IF($G10="Không có nguồn","—",IF(F10=K10,"Khớp","KHÁC"))</f>
        <v>Khớp</v>
      </c>
      <c r="P10" s="10" t="inlineStr">
        <is>
          <t>Tay cầm: hiện tại HALF, HORIZONTAL, LIGHT, THUMB, VERTICAL, nguồn HALF, HORIZONTAL, LASER, LIGHT, THUMB, VERTICAL</t>
        </is>
      </c>
      <c r="Q10" s="10" t="inlineStr">
        <is>
          <t>Sửa theo nguồn: Tay cầm</t>
        </is>
      </c>
    </row>
    <row r="11">
      <c r="A11" s="10" t="inlineStr">
        <is>
          <t>AKM</t>
        </is>
      </c>
      <c r="B11" s="10" t="inlineStr">
        <is>
          <t>AKM</t>
        </is>
      </c>
      <c r="C11" s="10" t="inlineStr">
        <is>
          <t>COMPENSATOR, FLASH_HIDER, SUPPRESSOR</t>
        </is>
      </c>
      <c r="D11" s="10" t="inlineStr">
        <is>
          <t>—</t>
        </is>
      </c>
      <c r="E11" s="10" t="inlineStr">
        <is>
          <t>—</t>
        </is>
      </c>
      <c r="F11" s="10" t="n">
        <v>6</v>
      </c>
      <c r="G11" s="10" t="inlineStr">
        <is>
          <t>Chính thức 和平精英</t>
        </is>
      </c>
      <c r="H11" s="10" t="inlineStr">
        <is>
          <t>COMPENSATOR, FLASH_HIDER, SUPPRESSOR</t>
        </is>
      </c>
      <c r="I11" s="10" t="inlineStr">
        <is>
          <t>—</t>
        </is>
      </c>
      <c r="J11" s="10" t="inlineStr">
        <is>
          <t>—</t>
        </is>
      </c>
      <c r="K11" s="10" t="n">
        <v>6</v>
      </c>
      <c r="L11" s="10" t="str">
        <f>IF($G11="Không có nguồn","—",IF(C11=H11,"Khớp","KHÁC"))</f>
        <v>Khớp</v>
      </c>
      <c r="M11" s="10" t="str">
        <f>IF($G11="Không có nguồn","—",IF(D11=I11,"Khớp","KHÁC"))</f>
        <v>Khớp</v>
      </c>
      <c r="N11" s="10" t="str">
        <f>IF($G11="Không có nguồn","—",IF(E11=J11,"Khớp","KHÁC"))</f>
        <v>Khớp</v>
      </c>
      <c r="O11" s="10" t="str">
        <f>IF($G11="Không có nguồn","—",IF(F11=K11,"Khớp","KHÁC"))</f>
        <v>Khớp</v>
      </c>
      <c r="P11" s="10" t="inlineStr"/>
      <c r="Q11" s="10" t="inlineStr">
        <is>
          <t>Giữ nguyên (khớp)</t>
        </is>
      </c>
    </row>
    <row r="12">
      <c r="A12" s="10" t="inlineStr">
        <is>
          <t>Groza</t>
        </is>
      </c>
      <c r="B12" s="10" t="inlineStr">
        <is>
          <t>Groza</t>
        </is>
      </c>
      <c r="C12" s="10" t="inlineStr">
        <is>
          <t>COMPENSATOR, FLASH_HIDER, SUPPRESSOR</t>
        </is>
      </c>
      <c r="D12" s="10" t="inlineStr">
        <is>
          <t>—</t>
        </is>
      </c>
      <c r="E12" s="10" t="inlineStr">
        <is>
          <t>—</t>
        </is>
      </c>
      <c r="F12" s="10" t="n">
        <v>6</v>
      </c>
      <c r="G12" s="10" t="inlineStr">
        <is>
          <t>Chính thức 和平精英</t>
        </is>
      </c>
      <c r="H12" s="10" t="inlineStr">
        <is>
          <t>SUPPRESSOR</t>
        </is>
      </c>
      <c r="I12" s="10" t="inlineStr">
        <is>
          <t>—</t>
        </is>
      </c>
      <c r="J12" s="10" t="inlineStr">
        <is>
          <t>—</t>
        </is>
      </c>
      <c r="K12" s="10" t="n">
        <v>6</v>
      </c>
      <c r="L12" s="10" t="str">
        <f>IF($G12="Không có nguồn","—",IF(C12=H12,"Khớp","KHÁC"))</f>
        <v>KHÁC</v>
      </c>
      <c r="M12" s="10" t="str">
        <f>IF($G12="Không có nguồn","—",IF(D12=I12,"Khớp","KHÁC"))</f>
        <v>Khớp</v>
      </c>
      <c r="N12" s="10" t="str">
        <f>IF($G12="Không có nguồn","—",IF(E12=J12,"Khớp","KHÁC"))</f>
        <v>Khớp</v>
      </c>
      <c r="O12" s="10" t="str">
        <f>IF($G12="Không có nguồn","—",IF(F12=K12,"Khớp","KHÁC"))</f>
        <v>Khớp</v>
      </c>
      <c r="P12" s="10" t="inlineStr">
        <is>
          <t>Nòng: hiện tại COMPENSATOR, FLASH_HIDER, SUPPRESSOR, nguồn SUPPRESSOR</t>
        </is>
      </c>
      <c r="Q12" s="10" t="inlineStr">
        <is>
          <t>Sửa theo nguồn: Nòng</t>
        </is>
      </c>
    </row>
    <row r="13">
      <c r="A13" s="10" t="inlineStr">
        <is>
          <t>FAMAS</t>
        </is>
      </c>
      <c r="B13" s="10" t="inlineStr">
        <is>
          <t>FAMAS</t>
        </is>
      </c>
      <c r="C13" s="10" t="inlineStr">
        <is>
          <t>COMPENSATOR, FLASH_HIDER, SUPPRESSOR</t>
        </is>
      </c>
      <c r="D13" s="10" t="inlineStr">
        <is>
          <t>—</t>
        </is>
      </c>
      <c r="E13" s="10" t="inlineStr">
        <is>
          <t>—</t>
        </is>
      </c>
      <c r="F13" s="10" t="n">
        <v>6</v>
      </c>
      <c r="G13" s="10" t="inlineStr">
        <is>
          <t>AppMedia (toàn cầu 2022)</t>
        </is>
      </c>
      <c r="H13" s="10" t="inlineStr">
        <is>
          <t>COMPENSATOR, FLASH_HIDER, SUPPRESSOR</t>
        </is>
      </c>
      <c r="I13" s="10" t="inlineStr">
        <is>
          <t>—</t>
        </is>
      </c>
      <c r="J13" s="10" t="inlineStr">
        <is>
          <t>—</t>
        </is>
      </c>
      <c r="K13" s="10" t="n">
        <v>6</v>
      </c>
      <c r="L13" s="10" t="str">
        <f>IF($G13="Không có nguồn","—",IF(C13=H13,"Khớp","KHÁC"))</f>
        <v>Khớp</v>
      </c>
      <c r="M13" s="10" t="str">
        <f>IF($G13="Không có nguồn","—",IF(D13=I13,"Khớp","KHÁC"))</f>
        <v>Khớp</v>
      </c>
      <c r="N13" s="10" t="str">
        <f>IF($G13="Không có nguồn","—",IF(E13=J13,"Khớp","KHÁC"))</f>
        <v>Khớp</v>
      </c>
      <c r="O13" s="10" t="str">
        <f>IF($G13="Không có nguồn","—",IF(F13=K13,"Khớp","KHÁC"))</f>
        <v>Khớp</v>
      </c>
      <c r="P13" s="10" t="inlineStr"/>
      <c r="Q13" s="10" t="inlineStr">
        <is>
          <t>Giữ nguyên (khớp)</t>
        </is>
      </c>
    </row>
    <row r="14">
      <c r="A14" s="10" t="inlineStr">
        <is>
          <t>M762</t>
        </is>
      </c>
      <c r="B14" s="10" t="inlineStr">
        <is>
          <t>Beryl M762</t>
        </is>
      </c>
      <c r="C14" s="10" t="inlineStr">
        <is>
          <t>COMPENSATOR, FLASH_HIDER, SUPPRESSOR</t>
        </is>
      </c>
      <c r="D14" s="10" t="inlineStr">
        <is>
          <t>HALF, HORIZONTAL, LIGHT, THUMB, VERTICAL</t>
        </is>
      </c>
      <c r="E14" s="10" t="inlineStr">
        <is>
          <t>—</t>
        </is>
      </c>
      <c r="F14" s="10" t="n">
        <v>6</v>
      </c>
      <c r="G14" s="10" t="inlineStr">
        <is>
          <t>Chính thức 和平精英</t>
        </is>
      </c>
      <c r="H14" s="10" t="inlineStr">
        <is>
          <t>COMPENSATOR, FLASH_HIDER, SUPPRESSOR</t>
        </is>
      </c>
      <c r="I14" s="10" t="inlineStr">
        <is>
          <t>HALF, HORIZONTAL, LASER, LIGHT, THUMB, VERTICAL</t>
        </is>
      </c>
      <c r="J14" s="10" t="inlineStr">
        <is>
          <t>—</t>
        </is>
      </c>
      <c r="K14" s="10" t="n">
        <v>6</v>
      </c>
      <c r="L14" s="10" t="str">
        <f>IF($G14="Không có nguồn","—",IF(C14=H14,"Khớp","KHÁC"))</f>
        <v>Khớp</v>
      </c>
      <c r="M14" s="10" t="str">
        <f>IF($G14="Không có nguồn","—",IF(D14=I14,"Khớp","KHÁC"))</f>
        <v>KHÁC</v>
      </c>
      <c r="N14" s="10" t="str">
        <f>IF($G14="Không có nguồn","—",IF(E14=J14,"Khớp","KHÁC"))</f>
        <v>Khớp</v>
      </c>
      <c r="O14" s="10" t="str">
        <f>IF($G14="Không có nguồn","—",IF(F14=K14,"Khớp","KHÁC"))</f>
        <v>Khớp</v>
      </c>
      <c r="P14" s="10" t="inlineStr">
        <is>
          <t>Tay cầm: hiện tại HALF, HORIZONTAL, LIGHT, THUMB, VERTICAL, nguồn HALF, HORIZONTAL, LASER, LIGHT, THUMB, VERTICAL</t>
        </is>
      </c>
      <c r="Q14" s="10" t="inlineStr">
        <is>
          <t>Sửa theo nguồn: Tay cầm</t>
        </is>
      </c>
    </row>
    <row r="15">
      <c r="A15" s="10" t="inlineStr">
        <is>
          <t>M16</t>
        </is>
      </c>
      <c r="B15" s="10" t="inlineStr">
        <is>
          <t>M16A4</t>
        </is>
      </c>
      <c r="C15" s="10" t="inlineStr">
        <is>
          <t>COMPENSATOR, FLASH_HIDER, SUPPRESSOR</t>
        </is>
      </c>
      <c r="D15" s="10" t="inlineStr">
        <is>
          <t>—</t>
        </is>
      </c>
      <c r="E15" s="10" t="inlineStr">
        <is>
          <t>—</t>
        </is>
      </c>
      <c r="F15" s="10" t="n">
        <v>6</v>
      </c>
      <c r="G15" s="10" t="inlineStr">
        <is>
          <t>Chính thức 和平精英</t>
        </is>
      </c>
      <c r="H15" s="10" t="inlineStr">
        <is>
          <t>COMPENSATOR, FLASH_HIDER, SUPPRESSOR</t>
        </is>
      </c>
      <c r="I15" s="10" t="inlineStr">
        <is>
          <t>—</t>
        </is>
      </c>
      <c r="J15" s="10" t="inlineStr">
        <is>
          <t>GENERAL</t>
        </is>
      </c>
      <c r="K15" s="10" t="n">
        <v>6</v>
      </c>
      <c r="L15" s="10" t="str">
        <f>IF($G15="Không có nguồn","—",IF(C15=H15,"Khớp","KHÁC"))</f>
        <v>Khớp</v>
      </c>
      <c r="M15" s="10" t="str">
        <f>IF($G15="Không có nguồn","—",IF(D15=I15,"Khớp","KHÁC"))</f>
        <v>Khớp</v>
      </c>
      <c r="N15" s="10" t="str">
        <f>IF($G15="Không có nguồn","—",IF(E15=J15,"Khớp","KHÁC"))</f>
        <v>KHÁC</v>
      </c>
      <c r="O15" s="10" t="str">
        <f>IF($G15="Không có nguồn","—",IF(F15=K15,"Khớp","KHÁC"))</f>
        <v>Khớp</v>
      </c>
      <c r="P15" s="10" t="inlineStr">
        <is>
          <t>Báng: hiện tại —, nguồn GENERAL</t>
        </is>
      </c>
      <c r="Q15" s="10" t="inlineStr">
        <is>
          <t>Sửa theo nguồn: Báng</t>
        </is>
      </c>
    </row>
    <row r="16">
      <c r="A16" s="10" t="inlineStr">
        <is>
          <t>MK47</t>
        </is>
      </c>
      <c r="B16" s="10" t="inlineStr">
        <is>
          <t>Mk47 Mutant</t>
        </is>
      </c>
      <c r="C16" s="10" t="inlineStr">
        <is>
          <t>COMPENSATOR, FLASH_HIDER, SUPPRESSOR</t>
        </is>
      </c>
      <c r="D16" s="10" t="inlineStr">
        <is>
          <t>HALF, HORIZONTAL, LIGHT, THUMB, VERTICAL</t>
        </is>
      </c>
      <c r="E16" s="10" t="inlineStr">
        <is>
          <t>—</t>
        </is>
      </c>
      <c r="F16" s="10" t="n">
        <v>6</v>
      </c>
      <c r="G16" s="10" t="inlineStr">
        <is>
          <t>Chính thức 和平精英</t>
        </is>
      </c>
      <c r="H16" s="10" t="inlineStr">
        <is>
          <t>COMPENSATOR, FLASH_HIDER, SUPPRESSOR</t>
        </is>
      </c>
      <c r="I16" s="10" t="inlineStr">
        <is>
          <t>HALF, HORIZONTAL, LASER, LIGHT, THUMB, VERTICAL</t>
        </is>
      </c>
      <c r="J16" s="10" t="inlineStr">
        <is>
          <t>GENERAL</t>
        </is>
      </c>
      <c r="K16" s="10" t="n">
        <v>6</v>
      </c>
      <c r="L16" s="10" t="str">
        <f>IF($G16="Không có nguồn","—",IF(C16=H16,"Khớp","KHÁC"))</f>
        <v>Khớp</v>
      </c>
      <c r="M16" s="10" t="str">
        <f>IF($G16="Không có nguồn","—",IF(D16=I16,"Khớp","KHÁC"))</f>
        <v>KHÁC</v>
      </c>
      <c r="N16" s="10" t="str">
        <f>IF($G16="Không có nguồn","—",IF(E16=J16,"Khớp","KHÁC"))</f>
        <v>KHÁC</v>
      </c>
      <c r="O16" s="10" t="str">
        <f>IF($G16="Không có nguồn","—",IF(F16=K16,"Khớp","KHÁC"))</f>
        <v>Khớp</v>
      </c>
      <c r="P16" s="10" t="inlineStr">
        <is>
          <t>Tay cầm: hiện tại HALF, HORIZONTAL, LIGHT, THUMB, VERTICAL, nguồn HALF, HORIZONTAL, LASER, LIGHT, THUMB, VERTICAL; Báng: hiện tại —, nguồn GENERAL</t>
        </is>
      </c>
      <c r="Q16" s="10" t="inlineStr">
        <is>
          <t>Sửa theo nguồn: Tay cầm; Báng</t>
        </is>
      </c>
    </row>
    <row r="17">
      <c r="A17" s="10" t="inlineStr">
        <is>
          <t>UZI</t>
        </is>
      </c>
      <c r="B17" s="10" t="inlineStr">
        <is>
          <t>Micro UZI</t>
        </is>
      </c>
      <c r="C17" s="10" t="inlineStr">
        <is>
          <t>COMPENSATOR, FLASH_HIDER, SUPPRESSOR</t>
        </is>
      </c>
      <c r="D17" s="10" t="inlineStr">
        <is>
          <t>—</t>
        </is>
      </c>
      <c r="E17" s="10" t="inlineStr">
        <is>
          <t>GENERAL</t>
        </is>
      </c>
      <c r="F17" s="10" t="n">
        <v>1</v>
      </c>
      <c r="G17" s="10" t="inlineStr">
        <is>
          <t>Chính thức 和平精英</t>
        </is>
      </c>
      <c r="H17" s="10" t="inlineStr">
        <is>
          <t>COMPENSATOR, FLASH_HIDER, SUPPRESSOR</t>
        </is>
      </c>
      <c r="I17" s="10" t="inlineStr">
        <is>
          <t>—</t>
        </is>
      </c>
      <c r="J17" s="10" t="inlineStr">
        <is>
          <t>GENERAL</t>
        </is>
      </c>
      <c r="K17" s="10" t="n">
        <v>1</v>
      </c>
      <c r="L17" s="10" t="str">
        <f>IF($G17="Không có nguồn","—",IF(C17=H17,"Khớp","KHÁC"))</f>
        <v>Khớp</v>
      </c>
      <c r="M17" s="10" t="str">
        <f>IF($G17="Không có nguồn","—",IF(D17=I17,"Khớp","KHÁC"))</f>
        <v>Khớp</v>
      </c>
      <c r="N17" s="10" t="str">
        <f>IF($G17="Không có nguồn","—",IF(E17=J17,"Khớp","KHÁC"))</f>
        <v>Khớp</v>
      </c>
      <c r="O17" s="10" t="str">
        <f>IF($G17="Không có nguồn","—",IF(F17=K17,"Khớp","KHÁC"))</f>
        <v>Khớp</v>
      </c>
      <c r="P17" s="10" t="inlineStr"/>
      <c r="Q17" s="10" t="inlineStr">
        <is>
          <t>Giữ nguyên (khớp)</t>
        </is>
      </c>
    </row>
    <row r="18">
      <c r="A18" s="10" t="inlineStr">
        <is>
          <t>Vector</t>
        </is>
      </c>
      <c r="B18" s="10" t="inlineStr">
        <is>
          <t>Vector</t>
        </is>
      </c>
      <c r="C18" s="10" t="inlineStr">
        <is>
          <t>COMPENSATOR, FLASH_HIDER, SUPPRESSOR</t>
        </is>
      </c>
      <c r="D18" s="10" t="inlineStr">
        <is>
          <t>HALF, HORIZONTAL, LIGHT, THUMB, VERTICAL</t>
        </is>
      </c>
      <c r="E18" s="10" t="inlineStr">
        <is>
          <t>GENERAL</t>
        </is>
      </c>
      <c r="F18" s="10" t="n">
        <v>6</v>
      </c>
      <c r="G18" s="10" t="inlineStr">
        <is>
          <t>Chính thức 和平精英</t>
        </is>
      </c>
      <c r="H18" s="10" t="inlineStr">
        <is>
          <t>COMPENSATOR, FLASH_HIDER, SUPPRESSOR</t>
        </is>
      </c>
      <c r="I18" s="10" t="inlineStr">
        <is>
          <t>HALF, LASER, LIGHT, VERTICAL</t>
        </is>
      </c>
      <c r="J18" s="10" t="inlineStr">
        <is>
          <t>GENERAL</t>
        </is>
      </c>
      <c r="K18" s="10" t="n">
        <v>6</v>
      </c>
      <c r="L18" s="10" t="str">
        <f>IF($G18="Không có nguồn","—",IF(C18=H18,"Khớp","KHÁC"))</f>
        <v>Khớp</v>
      </c>
      <c r="M18" s="10" t="str">
        <f>IF($G18="Không có nguồn","—",IF(D18=I18,"Khớp","KHÁC"))</f>
        <v>KHÁC</v>
      </c>
      <c r="N18" s="10" t="str">
        <f>IF($G18="Không có nguồn","—",IF(E18=J18,"Khớp","KHÁC"))</f>
        <v>Khớp</v>
      </c>
      <c r="O18" s="10" t="str">
        <f>IF($G18="Không có nguồn","—",IF(F18=K18,"Khớp","KHÁC"))</f>
        <v>Khớp</v>
      </c>
      <c r="P18" s="10" t="inlineStr">
        <is>
          <t>Tay cầm: hiện tại HALF, HORIZONTAL, LIGHT, THUMB, VERTICAL, nguồn HALF, LASER, LIGHT, VERTICAL</t>
        </is>
      </c>
      <c r="Q18" s="10" t="inlineStr">
        <is>
          <t>Sửa theo nguồn: Tay cầm</t>
        </is>
      </c>
    </row>
    <row r="19">
      <c r="A19" s="10" t="inlineStr">
        <is>
          <t>UMP45</t>
        </is>
      </c>
      <c r="B19" s="10" t="inlineStr">
        <is>
          <t>UMP45</t>
        </is>
      </c>
      <c r="C19" s="10" t="inlineStr">
        <is>
          <t>COMPENSATOR, FLASH_HIDER, SUPPRESSOR</t>
        </is>
      </c>
      <c r="D19" s="10" t="inlineStr">
        <is>
          <t>HALF, HORIZONTAL, LIGHT, THUMB, VERTICAL</t>
        </is>
      </c>
      <c r="E19" s="10" t="inlineStr">
        <is>
          <t>—</t>
        </is>
      </c>
      <c r="F19" s="10" t="n">
        <v>6</v>
      </c>
      <c r="G19" s="10" t="inlineStr">
        <is>
          <t>Chính thức 和平精英</t>
        </is>
      </c>
      <c r="H19" s="10" t="inlineStr">
        <is>
          <t>COMPENSATOR, FLASH_HIDER, SUPPRESSOR</t>
        </is>
      </c>
      <c r="I19" s="10" t="inlineStr">
        <is>
          <t>HALF, HORIZONTAL, LASER, LIGHT, THUMB, VERTICAL</t>
        </is>
      </c>
      <c r="J19" s="10" t="inlineStr">
        <is>
          <t>—</t>
        </is>
      </c>
      <c r="K19" s="10" t="n">
        <v>6</v>
      </c>
      <c r="L19" s="10" t="str">
        <f>IF($G19="Không có nguồn","—",IF(C19=H19,"Khớp","KHÁC"))</f>
        <v>Khớp</v>
      </c>
      <c r="M19" s="10" t="str">
        <f>IF($G19="Không có nguồn","—",IF(D19=I19,"Khớp","KHÁC"))</f>
        <v>KHÁC</v>
      </c>
      <c r="N19" s="10" t="str">
        <f>IF($G19="Không có nguồn","—",IF(E19=J19,"Khớp","KHÁC"))</f>
        <v>Khớp</v>
      </c>
      <c r="O19" s="10" t="str">
        <f>IF($G19="Không có nguồn","—",IF(F19=K19,"Khớp","KHÁC"))</f>
        <v>Khớp</v>
      </c>
      <c r="P19" s="10" t="inlineStr">
        <is>
          <t>Tay cầm: hiện tại HALF, HORIZONTAL, LIGHT, THUMB, VERTICAL, nguồn HALF, HORIZONTAL, LASER, LIGHT, THUMB, VERTICAL</t>
        </is>
      </c>
      <c r="Q19" s="10" t="inlineStr">
        <is>
          <t>Sửa theo nguồn: Tay cầm</t>
        </is>
      </c>
    </row>
    <row r="20">
      <c r="A20" s="10" t="inlineStr">
        <is>
          <t>Thomson</t>
        </is>
      </c>
      <c r="B20" s="10" t="inlineStr">
        <is>
          <t>Tommy Gun (Thompson)</t>
        </is>
      </c>
      <c r="C20" s="10" t="inlineStr">
        <is>
          <t>SUPPRESSOR</t>
        </is>
      </c>
      <c r="D20" s="10" t="inlineStr">
        <is>
          <t>—</t>
        </is>
      </c>
      <c r="E20" s="10" t="inlineStr">
        <is>
          <t>—</t>
        </is>
      </c>
      <c r="F20" s="10" t="n">
        <v>1</v>
      </c>
      <c r="G20" s="10" t="inlineStr">
        <is>
          <t>Chính thức 和平精英</t>
        </is>
      </c>
      <c r="H20" s="10" t="inlineStr">
        <is>
          <t>SUPPRESSOR</t>
        </is>
      </c>
      <c r="I20" s="10" t="inlineStr">
        <is>
          <t>VERTICAL</t>
        </is>
      </c>
      <c r="J20" s="10" t="inlineStr">
        <is>
          <t>—</t>
        </is>
      </c>
      <c r="K20" s="10" t="n">
        <v>1</v>
      </c>
      <c r="L20" s="10" t="str">
        <f>IF($G20="Không có nguồn","—",IF(C20=H20,"Khớp","KHÁC"))</f>
        <v>Khớp</v>
      </c>
      <c r="M20" s="10" t="str">
        <f>IF($G20="Không có nguồn","—",IF(D20=I20,"Khớp","KHÁC"))</f>
        <v>KHÁC</v>
      </c>
      <c r="N20" s="10" t="str">
        <f>IF($G20="Không có nguồn","—",IF(E20=J20,"Khớp","KHÁC"))</f>
        <v>Khớp</v>
      </c>
      <c r="O20" s="10" t="str">
        <f>IF($G20="Không có nguồn","—",IF(F20=K20,"Khớp","KHÁC"))</f>
        <v>Khớp</v>
      </c>
      <c r="P20" s="10" t="inlineStr">
        <is>
          <t>Tay cầm: hiện tại —, nguồn VERTICAL</t>
        </is>
      </c>
      <c r="Q20" s="10" t="inlineStr">
        <is>
          <t>Sửa theo nguồn: Tay cầm</t>
        </is>
      </c>
    </row>
    <row r="21">
      <c r="A21" s="10" t="inlineStr">
        <is>
          <t>Kar98K</t>
        </is>
      </c>
      <c r="B21" s="10" t="inlineStr">
        <is>
          <t>Kar98k</t>
        </is>
      </c>
      <c r="C21" s="10" t="inlineStr">
        <is>
          <t>COMPENSATOR, FLASH_HIDER, SUPPRESSOR</t>
        </is>
      </c>
      <c r="D21" s="10" t="inlineStr">
        <is>
          <t>—</t>
        </is>
      </c>
      <c r="E21" s="10" t="inlineStr">
        <is>
          <t>—</t>
        </is>
      </c>
      <c r="F21" s="10" t="n">
        <v>8</v>
      </c>
      <c r="G21" s="10" t="inlineStr">
        <is>
          <t>Chính thức 和平精英</t>
        </is>
      </c>
      <c r="H21" s="10" t="inlineStr">
        <is>
          <t>COMPENSATOR, FLASH_HIDER, SUPPRESSOR</t>
        </is>
      </c>
      <c r="I21" s="10" t="inlineStr">
        <is>
          <t>—</t>
        </is>
      </c>
      <c r="J21" s="10" t="inlineStr">
        <is>
          <t>—</t>
        </is>
      </c>
      <c r="K21" s="10" t="n">
        <v>8</v>
      </c>
      <c r="L21" s="10" t="str">
        <f>IF($G21="Không có nguồn","—",IF(C21=H21,"Khớp","KHÁC"))</f>
        <v>Khớp</v>
      </c>
      <c r="M21" s="10" t="str">
        <f>IF($G21="Không có nguồn","—",IF(D21=I21,"Khớp","KHÁC"))</f>
        <v>Khớp</v>
      </c>
      <c r="N21" s="10" t="str">
        <f>IF($G21="Không có nguồn","—",IF(E21=J21,"Khớp","KHÁC"))</f>
        <v>Khớp</v>
      </c>
      <c r="O21" s="10" t="str">
        <f>IF($G21="Không có nguồn","—",IF(F21=K21,"Khớp","KHÁC"))</f>
        <v>Khớp</v>
      </c>
      <c r="P21" s="10" t="inlineStr">
        <is>
          <t xml:space="preserve"> | báng ngoài app: Túi đạn (Bullet Loops), Ốp má (Cheek Pad)</t>
        </is>
      </c>
      <c r="Q21" s="10" t="inlineStr">
        <is>
          <t>Giữ nguyên (khớp)</t>
        </is>
      </c>
    </row>
    <row r="22">
      <c r="A22" s="10" t="inlineStr">
        <is>
          <t>M24</t>
        </is>
      </c>
      <c r="B22" s="10" t="inlineStr">
        <is>
          <t>M24</t>
        </is>
      </c>
      <c r="C22" s="10" t="inlineStr">
        <is>
          <t>COMPENSATOR, FLASH_HIDER, SUPPRESSOR</t>
        </is>
      </c>
      <c r="D22" s="10" t="inlineStr">
        <is>
          <t>—</t>
        </is>
      </c>
      <c r="E22" s="10" t="inlineStr">
        <is>
          <t>—</t>
        </is>
      </c>
      <c r="F22" s="10" t="n">
        <v>8</v>
      </c>
      <c r="G22" s="10" t="inlineStr">
        <is>
          <t>Chính thức 和平精英</t>
        </is>
      </c>
      <c r="H22" s="10" t="inlineStr">
        <is>
          <t>COMPENSATOR, FLASH_HIDER, SUPPRESSOR</t>
        </is>
      </c>
      <c r="I22" s="10" t="inlineStr">
        <is>
          <t>—</t>
        </is>
      </c>
      <c r="J22" s="10" t="inlineStr">
        <is>
          <t>—</t>
        </is>
      </c>
      <c r="K22" s="10" t="n">
        <v>8</v>
      </c>
      <c r="L22" s="10" t="str">
        <f>IF($G22="Không có nguồn","—",IF(C22=H22,"Khớp","KHÁC"))</f>
        <v>Khớp</v>
      </c>
      <c r="M22" s="10" t="str">
        <f>IF($G22="Không có nguồn","—",IF(D22=I22,"Khớp","KHÁC"))</f>
        <v>Khớp</v>
      </c>
      <c r="N22" s="10" t="str">
        <f>IF($G22="Không có nguồn","—",IF(E22=J22,"Khớp","KHÁC"))</f>
        <v>Khớp</v>
      </c>
      <c r="O22" s="10" t="str">
        <f>IF($G22="Không có nguồn","—",IF(F22=K22,"Khớp","KHÁC"))</f>
        <v>Khớp</v>
      </c>
      <c r="P22" s="10" t="inlineStr">
        <is>
          <t xml:space="preserve"> | báng ngoài app: Ốp má (Cheek Pad)</t>
        </is>
      </c>
      <c r="Q22" s="10" t="inlineStr">
        <is>
          <t>Giữ nguyên (khớp)</t>
        </is>
      </c>
    </row>
    <row r="23">
      <c r="A23" s="10" t="inlineStr">
        <is>
          <t>AWM</t>
        </is>
      </c>
      <c r="B23" s="10" t="inlineStr">
        <is>
          <t>AWM</t>
        </is>
      </c>
      <c r="C23" s="10" t="inlineStr">
        <is>
          <t>COMPENSATOR, FLASH_HIDER, SUPPRESSOR</t>
        </is>
      </c>
      <c r="D23" s="10" t="inlineStr">
        <is>
          <t>—</t>
        </is>
      </c>
      <c r="E23" s="10" t="inlineStr">
        <is>
          <t>—</t>
        </is>
      </c>
      <c r="F23" s="10" t="n">
        <v>8</v>
      </c>
      <c r="G23" s="10" t="inlineStr">
        <is>
          <t>Chính thức 和平精英</t>
        </is>
      </c>
      <c r="H23" s="10" t="inlineStr">
        <is>
          <t>COMPENSATOR, FLASH_HIDER, SUPPRESSOR</t>
        </is>
      </c>
      <c r="I23" s="10" t="inlineStr">
        <is>
          <t>—</t>
        </is>
      </c>
      <c r="J23" s="10" t="inlineStr">
        <is>
          <t>—</t>
        </is>
      </c>
      <c r="K23" s="10" t="n">
        <v>8</v>
      </c>
      <c r="L23" s="10" t="str">
        <f>IF($G23="Không có nguồn","—",IF(C23=H23,"Khớp","KHÁC"))</f>
        <v>Khớp</v>
      </c>
      <c r="M23" s="10" t="str">
        <f>IF($G23="Không có nguồn","—",IF(D23=I23,"Khớp","KHÁC"))</f>
        <v>Khớp</v>
      </c>
      <c r="N23" s="10" t="str">
        <f>IF($G23="Không có nguồn","—",IF(E23=J23,"Khớp","KHÁC"))</f>
        <v>Khớp</v>
      </c>
      <c r="O23" s="10" t="str">
        <f>IF($G23="Không có nguồn","—",IF(F23=K23,"Khớp","KHÁC"))</f>
        <v>Khớp</v>
      </c>
      <c r="P23" s="10" t="inlineStr">
        <is>
          <t xml:space="preserve"> | báng ngoài app: Ốp má (Cheek Pad)</t>
        </is>
      </c>
      <c r="Q23" s="10" t="inlineStr">
        <is>
          <t>Giữ nguyên (khớp)</t>
        </is>
      </c>
    </row>
    <row r="24">
      <c r="A24" s="10" t="inlineStr">
        <is>
          <t>SKS</t>
        </is>
      </c>
      <c r="B24" s="10" t="inlineStr">
        <is>
          <t>SKS</t>
        </is>
      </c>
      <c r="C24" s="10" t="inlineStr">
        <is>
          <t>COMPENSATOR, FLASH_HIDER, SUPPRESSOR</t>
        </is>
      </c>
      <c r="D24" s="10" t="inlineStr">
        <is>
          <t>HALF, HORIZONTAL, LIGHT, THUMB, VERTICAL</t>
        </is>
      </c>
      <c r="E24" s="10" t="inlineStr">
        <is>
          <t>—</t>
        </is>
      </c>
      <c r="F24" s="10" t="n">
        <v>8</v>
      </c>
      <c r="G24" s="10" t="inlineStr">
        <is>
          <t>Chính thức 和平精英</t>
        </is>
      </c>
      <c r="H24" s="10" t="inlineStr">
        <is>
          <t>COMPENSATOR, FLASH_HIDER, SUPPRESSOR</t>
        </is>
      </c>
      <c r="I24" s="10" t="inlineStr">
        <is>
          <t>HALF, HORIZONTAL, LASER, LIGHT, THUMB, VERTICAL</t>
        </is>
      </c>
      <c r="J24" s="10" t="inlineStr">
        <is>
          <t>—</t>
        </is>
      </c>
      <c r="K24" s="10" t="n">
        <v>8</v>
      </c>
      <c r="L24" s="10" t="str">
        <f>IF($G24="Không có nguồn","—",IF(C24=H24,"Khớp","KHÁC"))</f>
        <v>Khớp</v>
      </c>
      <c r="M24" s="10" t="str">
        <f>IF($G24="Không có nguồn","—",IF(D24=I24,"Khớp","KHÁC"))</f>
        <v>KHÁC</v>
      </c>
      <c r="N24" s="10" t="str">
        <f>IF($G24="Không có nguồn","—",IF(E24=J24,"Khớp","KHÁC"))</f>
        <v>Khớp</v>
      </c>
      <c r="O24" s="10" t="str">
        <f>IF($G24="Không có nguồn","—",IF(F24=K24,"Khớp","KHÁC"))</f>
        <v>Khớp</v>
      </c>
      <c r="P24" s="10" t="inlineStr">
        <is>
          <t>Tay cầm: hiện tại HALF, HORIZONTAL, LIGHT, THUMB, VERTICAL, nguồn HALF, HORIZONTAL, LASER, LIGHT, THUMB, VERTICAL | báng ngoài app: Ốp má (Cheek Pad)</t>
        </is>
      </c>
      <c r="Q24" s="10" t="inlineStr">
        <is>
          <t>Sửa theo nguồn: Tay cầm</t>
        </is>
      </c>
    </row>
    <row r="25">
      <c r="A25" s="10" t="inlineStr">
        <is>
          <t>SLR</t>
        </is>
      </c>
      <c r="B25" s="10" t="inlineStr">
        <is>
          <t>SLR</t>
        </is>
      </c>
      <c r="C25" s="10" t="inlineStr">
        <is>
          <t>COMPENSATOR, FLASH_HIDER, SUPPRESSOR</t>
        </is>
      </c>
      <c r="D25" s="10" t="inlineStr">
        <is>
          <t>HALF, HORIZONTAL, LIGHT, THUMB, VERTICAL</t>
        </is>
      </c>
      <c r="E25" s="10" t="inlineStr">
        <is>
          <t>—</t>
        </is>
      </c>
      <c r="F25" s="10" t="n">
        <v>8</v>
      </c>
      <c r="G25" s="10" t="inlineStr">
        <is>
          <t>Chính thức 和平精英</t>
        </is>
      </c>
      <c r="H25" s="10" t="inlineStr">
        <is>
          <t>COMPENSATOR, FLASH_HIDER, SUPPRESSOR</t>
        </is>
      </c>
      <c r="I25" s="10" t="inlineStr">
        <is>
          <t>—</t>
        </is>
      </c>
      <c r="J25" s="10" t="inlineStr">
        <is>
          <t>—</t>
        </is>
      </c>
      <c r="K25" s="10" t="n">
        <v>8</v>
      </c>
      <c r="L25" s="10" t="str">
        <f>IF($G25="Không có nguồn","—",IF(C25=H25,"Khớp","KHÁC"))</f>
        <v>Khớp</v>
      </c>
      <c r="M25" s="10" t="str">
        <f>IF($G25="Không có nguồn","—",IF(D25=I25,"Khớp","KHÁC"))</f>
        <v>KHÁC</v>
      </c>
      <c r="N25" s="10" t="str">
        <f>IF($G25="Không có nguồn","—",IF(E25=J25,"Khớp","KHÁC"))</f>
        <v>Khớp</v>
      </c>
      <c r="O25" s="10" t="str">
        <f>IF($G25="Không có nguồn","—",IF(F25=K25,"Khớp","KHÁC"))</f>
        <v>Khớp</v>
      </c>
      <c r="P25" s="10" t="inlineStr">
        <is>
          <t>Tay cầm: hiện tại HALF, HORIZONTAL, LIGHT, THUMB, VERTICAL, nguồn — | báng ngoài app: Ốp má (Cheek Pad)</t>
        </is>
      </c>
      <c r="Q25" s="10" t="inlineStr">
        <is>
          <t>Sửa theo nguồn: Tay cầm</t>
        </is>
      </c>
    </row>
    <row r="26">
      <c r="A26" s="10" t="inlineStr">
        <is>
          <t>MK14</t>
        </is>
      </c>
      <c r="B26" s="10" t="inlineStr">
        <is>
          <t>Mk14</t>
        </is>
      </c>
      <c r="C26" s="10" t="inlineStr">
        <is>
          <t>COMPENSATOR, FLASH_HIDER, SUPPRESSOR</t>
        </is>
      </c>
      <c r="D26" s="10" t="inlineStr">
        <is>
          <t>HALF, HORIZONTAL, LIGHT, THUMB, VERTICAL</t>
        </is>
      </c>
      <c r="E26" s="10" t="inlineStr">
        <is>
          <t>—</t>
        </is>
      </c>
      <c r="F26" s="10" t="n">
        <v>8</v>
      </c>
      <c r="G26" s="10" t="inlineStr">
        <is>
          <t>Chính thức 和平精英</t>
        </is>
      </c>
      <c r="H26" s="10" t="inlineStr">
        <is>
          <t>COMPENSATOR, FLASH_HIDER, SUPPRESSOR</t>
        </is>
      </c>
      <c r="I26" s="10" t="inlineStr">
        <is>
          <t>—</t>
        </is>
      </c>
      <c r="J26" s="10" t="inlineStr">
        <is>
          <t>—</t>
        </is>
      </c>
      <c r="K26" s="10" t="n">
        <v>8</v>
      </c>
      <c r="L26" s="10" t="str">
        <f>IF($G26="Không có nguồn","—",IF(C26=H26,"Khớp","KHÁC"))</f>
        <v>Khớp</v>
      </c>
      <c r="M26" s="10" t="str">
        <f>IF($G26="Không có nguồn","—",IF(D26=I26,"Khớp","KHÁC"))</f>
        <v>KHÁC</v>
      </c>
      <c r="N26" s="10" t="str">
        <f>IF($G26="Không có nguồn","—",IF(E26=J26,"Khớp","KHÁC"))</f>
        <v>Khớp</v>
      </c>
      <c r="O26" s="10" t="str">
        <f>IF($G26="Không có nguồn","—",IF(F26=K26,"Khớp","KHÁC"))</f>
        <v>Khớp</v>
      </c>
      <c r="P26" s="10" t="inlineStr">
        <is>
          <t>Tay cầm: hiện tại HALF, HORIZONTAL, LIGHT, THUMB, VERTICAL, nguồn — | báng ngoài app: Ốp má (Cheek Pad)</t>
        </is>
      </c>
      <c r="Q26" s="10" t="inlineStr">
        <is>
          <t>Sửa theo nguồn: Tay cầm</t>
        </is>
      </c>
    </row>
    <row r="27">
      <c r="A27" s="10" t="inlineStr">
        <is>
          <t>Mini14</t>
        </is>
      </c>
      <c r="B27" s="10" t="inlineStr">
        <is>
          <t>Mini14</t>
        </is>
      </c>
      <c r="C27" s="10" t="inlineStr">
        <is>
          <t>COMPENSATOR, FLASH_HIDER, SUPPRESSOR</t>
        </is>
      </c>
      <c r="D27" s="10" t="inlineStr">
        <is>
          <t>—</t>
        </is>
      </c>
      <c r="E27" s="10" t="inlineStr">
        <is>
          <t>—</t>
        </is>
      </c>
      <c r="F27" s="10" t="n">
        <v>8</v>
      </c>
      <c r="G27" s="10" t="inlineStr">
        <is>
          <t>Chính thức 和平精英</t>
        </is>
      </c>
      <c r="H27" s="10" t="inlineStr">
        <is>
          <t>COMPENSATOR, FLASH_HIDER, SUPPRESSOR</t>
        </is>
      </c>
      <c r="I27" s="10" t="inlineStr">
        <is>
          <t>—</t>
        </is>
      </c>
      <c r="J27" s="10" t="inlineStr">
        <is>
          <t>—</t>
        </is>
      </c>
      <c r="K27" s="10" t="n">
        <v>8</v>
      </c>
      <c r="L27" s="10" t="str">
        <f>IF($G27="Không có nguồn","—",IF(C27=H27,"Khớp","KHÁC"))</f>
        <v>Khớp</v>
      </c>
      <c r="M27" s="10" t="str">
        <f>IF($G27="Không có nguồn","—",IF(D27=I27,"Khớp","KHÁC"))</f>
        <v>Khớp</v>
      </c>
      <c r="N27" s="10" t="str">
        <f>IF($G27="Không có nguồn","—",IF(E27=J27,"Khớp","KHÁC"))</f>
        <v>Khớp</v>
      </c>
      <c r="O27" s="10" t="str">
        <f>IF($G27="Không có nguồn","—",IF(F27=K27,"Khớp","KHÁC"))</f>
        <v>Khớp</v>
      </c>
      <c r="P27" s="10" t="inlineStr"/>
      <c r="Q27" s="10" t="inlineStr">
        <is>
          <t>Giữ nguyên (khớp)</t>
        </is>
      </c>
    </row>
    <row r="28">
      <c r="A28" s="10" t="inlineStr">
        <is>
          <t>VSS</t>
        </is>
      </c>
      <c r="B28" s="10" t="inlineStr">
        <is>
          <t>VSS</t>
        </is>
      </c>
      <c r="C28" s="10" t="inlineStr">
        <is>
          <t>COMPENSATOR, FLASH_HIDER, SUPPRESSOR</t>
        </is>
      </c>
      <c r="D28" s="10" t="inlineStr">
        <is>
          <t>—</t>
        </is>
      </c>
      <c r="E28" s="10" t="inlineStr">
        <is>
          <t>—</t>
        </is>
      </c>
      <c r="F28" s="10" t="n">
        <v>8</v>
      </c>
      <c r="G28" s="10" t="inlineStr">
        <is>
          <t>Chính thức 和平精英</t>
        </is>
      </c>
      <c r="H28" s="10" t="inlineStr">
        <is>
          <t>—</t>
        </is>
      </c>
      <c r="I28" s="10" t="inlineStr">
        <is>
          <t>—</t>
        </is>
      </c>
      <c r="J28" s="10" t="inlineStr">
        <is>
          <t>—</t>
        </is>
      </c>
      <c r="K28" s="10" t="n">
        <v>0</v>
      </c>
      <c r="L28" s="10" t="str">
        <f>IF($G28="Không có nguồn","—",IF(C28=H28,"Khớp","KHÁC"))</f>
        <v>KHÁC</v>
      </c>
      <c r="M28" s="10" t="str">
        <f>IF($G28="Không có nguồn","—",IF(D28=I28,"Khớp","KHÁC"))</f>
        <v>Khớp</v>
      </c>
      <c r="N28" s="10" t="str">
        <f>IF($G28="Không có nguồn","—",IF(E28=J28,"Khớp","KHÁC"))</f>
        <v>Khớp</v>
      </c>
      <c r="O28" s="10" t="str">
        <f>IF($G28="Không có nguồn","—",IF(F28=K28,"Khớp","KHÁC"))</f>
        <v>KHÁC</v>
      </c>
      <c r="P28" s="10" t="inlineStr">
        <is>
          <t>Nòng: hiện tại COMPENSATOR, FLASH_HIDER, SUPPRESSOR, nguồn —; Ống ngắm: hiện tại ≤8x, nguồn không lắp được ống ngắm | báng ngoài app: Ốp má (Cheek Pad)</t>
        </is>
      </c>
      <c r="Q28" s="10" t="inlineStr">
        <is>
          <t>Sửa theo nguồn: Nòng; Ống ngắm</t>
        </is>
      </c>
    </row>
    <row r="29">
      <c r="A29" s="10" t="inlineStr">
        <is>
          <t>QBU</t>
        </is>
      </c>
      <c r="B29" s="10" t="inlineStr">
        <is>
          <t>QBU</t>
        </is>
      </c>
      <c r="C29" s="10" t="inlineStr">
        <is>
          <t>COMPENSATOR, FLASH_HIDER, SUPPRESSOR</t>
        </is>
      </c>
      <c r="D29" s="10" t="inlineStr">
        <is>
          <t>—</t>
        </is>
      </c>
      <c r="E29" s="10" t="inlineStr">
        <is>
          <t>—</t>
        </is>
      </c>
      <c r="F29" s="10" t="n">
        <v>8</v>
      </c>
      <c r="G29" s="10" t="inlineStr">
        <is>
          <t>Chính thức 和平精英</t>
        </is>
      </c>
      <c r="H29" s="10" t="inlineStr">
        <is>
          <t>COMPENSATOR, FLASH_HIDER, SUPPRESSOR</t>
        </is>
      </c>
      <c r="I29" s="10" t="inlineStr">
        <is>
          <t>—</t>
        </is>
      </c>
      <c r="J29" s="10" t="inlineStr">
        <is>
          <t>—</t>
        </is>
      </c>
      <c r="K29" s="10" t="n">
        <v>8</v>
      </c>
      <c r="L29" s="10" t="str">
        <f>IF($G29="Không có nguồn","—",IF(C29=H29,"Khớp","KHÁC"))</f>
        <v>Khớp</v>
      </c>
      <c r="M29" s="10" t="str">
        <f>IF($G29="Không có nguồn","—",IF(D29=I29,"Khớp","KHÁC"))</f>
        <v>Khớp</v>
      </c>
      <c r="N29" s="10" t="str">
        <f>IF($G29="Không có nguồn","—",IF(E29=J29,"Khớp","KHÁC"))</f>
        <v>Khớp</v>
      </c>
      <c r="O29" s="10" t="str">
        <f>IF($G29="Không có nguồn","—",IF(F29=K29,"Khớp","KHÁC"))</f>
        <v>Khớp</v>
      </c>
      <c r="P29" s="10" t="inlineStr"/>
      <c r="Q29" s="10" t="inlineStr">
        <is>
          <t>Giữ nguyên (khớp)</t>
        </is>
      </c>
    </row>
    <row r="30">
      <c r="A30" s="10" t="inlineStr">
        <is>
          <t>MK12</t>
        </is>
      </c>
      <c r="B30" s="10" t="inlineStr">
        <is>
          <t>MK12</t>
        </is>
      </c>
      <c r="C30" s="10" t="inlineStr">
        <is>
          <t>COMPENSATOR, FLASH_HIDER, SUPPRESSOR</t>
        </is>
      </c>
      <c r="D30" s="10" t="inlineStr">
        <is>
          <t>—</t>
        </is>
      </c>
      <c r="E30" s="10" t="inlineStr">
        <is>
          <t>—</t>
        </is>
      </c>
      <c r="F30" s="10" t="n">
        <v>8</v>
      </c>
      <c r="G30" s="10" t="inlineStr">
        <is>
          <t>AppMedia (toàn cầu 2022)</t>
        </is>
      </c>
      <c r="H30" s="10" t="inlineStr">
        <is>
          <t>COMPENSATOR, FLASH_HIDER, SUPPRESSOR</t>
        </is>
      </c>
      <c r="I30" s="10" t="inlineStr">
        <is>
          <t>—</t>
        </is>
      </c>
      <c r="J30" s="10" t="inlineStr">
        <is>
          <t>—</t>
        </is>
      </c>
      <c r="K30" s="10" t="n">
        <v>8</v>
      </c>
      <c r="L30" s="10" t="str">
        <f>IF($G30="Không có nguồn","—",IF(C30=H30,"Khớp","KHÁC"))</f>
        <v>Khớp</v>
      </c>
      <c r="M30" s="10" t="str">
        <f>IF($G30="Không có nguồn","—",IF(D30=I30,"Khớp","KHÁC"))</f>
        <v>Khớp</v>
      </c>
      <c r="N30" s="10" t="str">
        <f>IF($G30="Không có nguồn","—",IF(E30=J30,"Khớp","KHÁC"))</f>
        <v>Khớp</v>
      </c>
      <c r="O30" s="10" t="str">
        <f>IF($G30="Không có nguồn","—",IF(F30=K30,"Khớp","KHÁC"))</f>
        <v>Khớp</v>
      </c>
      <c r="P30" s="10" t="inlineStr"/>
      <c r="Q30" s="10" t="inlineStr">
        <is>
          <t>Giữ nguyên (khớp)</t>
        </is>
      </c>
    </row>
    <row r="31">
      <c r="A31" s="10" t="inlineStr">
        <is>
          <t>DP28</t>
        </is>
      </c>
      <c r="B31" s="10" t="inlineStr">
        <is>
          <t>DP-28</t>
        </is>
      </c>
      <c r="C31" s="10" t="inlineStr">
        <is>
          <t>—</t>
        </is>
      </c>
      <c r="D31" s="10" t="inlineStr">
        <is>
          <t>—</t>
        </is>
      </c>
      <c r="E31" s="10" t="inlineStr">
        <is>
          <t>—</t>
        </is>
      </c>
      <c r="F31" s="10" t="n">
        <v>6</v>
      </c>
      <c r="G31" s="10" t="inlineStr">
        <is>
          <t>Chính thức 和平精英</t>
        </is>
      </c>
      <c r="H31" s="10" t="inlineStr">
        <is>
          <t>—</t>
        </is>
      </c>
      <c r="I31" s="10" t="inlineStr">
        <is>
          <t>—</t>
        </is>
      </c>
      <c r="J31" s="10" t="inlineStr">
        <is>
          <t>—</t>
        </is>
      </c>
      <c r="K31" s="10" t="n">
        <v>6</v>
      </c>
      <c r="L31" s="10" t="str">
        <f>IF($G31="Không có nguồn","—",IF(C31=H31,"Khớp","KHÁC"))</f>
        <v>Khớp</v>
      </c>
      <c r="M31" s="10" t="str">
        <f>IF($G31="Không có nguồn","—",IF(D31=I31,"Khớp","KHÁC"))</f>
        <v>Khớp</v>
      </c>
      <c r="N31" s="10" t="str">
        <f>IF($G31="Không có nguồn","—",IF(E31=J31,"Khớp","KHÁC"))</f>
        <v>Khớp</v>
      </c>
      <c r="O31" s="10" t="str">
        <f>IF($G31="Không có nguồn","—",IF(F31=K31,"Khớp","KHÁC"))</f>
        <v>Khớp</v>
      </c>
      <c r="P31" s="10" t="inlineStr"/>
      <c r="Q31" s="10" t="inlineStr">
        <is>
          <t>Giữ nguyên (khớp)</t>
        </is>
      </c>
    </row>
    <row r="32">
      <c r="A32" s="10" t="inlineStr">
        <is>
          <t>S1897</t>
        </is>
      </c>
      <c r="B32" s="10" t="inlineStr">
        <is>
          <t>S1897</t>
        </is>
      </c>
      <c r="C32" s="10" t="inlineStr">
        <is>
          <t>—</t>
        </is>
      </c>
      <c r="D32" s="10" t="inlineStr">
        <is>
          <t>—</t>
        </is>
      </c>
      <c r="E32" s="10" t="inlineStr">
        <is>
          <t>—</t>
        </is>
      </c>
      <c r="F32" s="10" t="inlineStr">
        <is>
          <t>không giới hạn</t>
        </is>
      </c>
      <c r="G32" s="10" t="inlineStr">
        <is>
          <t>Chính thức 和平精英</t>
        </is>
      </c>
      <c r="H32" s="10" t="inlineStr">
        <is>
          <t>—</t>
        </is>
      </c>
      <c r="I32" s="10" t="inlineStr">
        <is>
          <t>—</t>
        </is>
      </c>
      <c r="J32" s="10" t="inlineStr">
        <is>
          <t>—</t>
        </is>
      </c>
      <c r="K32" s="10" t="n">
        <v>0</v>
      </c>
      <c r="L32" s="10" t="str">
        <f>IF($G32="Không có nguồn","—",IF(C32=H32,"Khớp","KHÁC"))</f>
        <v>Khớp</v>
      </c>
      <c r="M32" s="10" t="str">
        <f>IF($G32="Không có nguồn","—",IF(D32=I32,"Khớp","KHÁC"))</f>
        <v>Khớp</v>
      </c>
      <c r="N32" s="10" t="str">
        <f>IF($G32="Không có nguồn","—",IF(E32=J32,"Khớp","KHÁC"))</f>
        <v>Khớp</v>
      </c>
      <c r="O32" s="10" t="str">
        <f>IF($G32="Không có nguồn","—",IF(F32=K32,"Khớp","KHÁC"))</f>
        <v>KHÁC</v>
      </c>
      <c r="P32" s="10" t="inlineStr">
        <is>
          <t>Ống ngắm: hiện tại không giới hạn, nguồn không lắp được ống ngắm | nòng ngoài app: Choke (bộ thu hẹp đạn), Duckbill (mõ vịt); báng ngoài app: Túi đạn (Bullet Loops)</t>
        </is>
      </c>
      <c r="Q32" s="10" t="inlineStr">
        <is>
          <t>Sửa theo nguồn: Ống ngắm</t>
        </is>
      </c>
    </row>
    <row r="33">
      <c r="A33" s="10" t="inlineStr">
        <is>
          <t>S686</t>
        </is>
      </c>
      <c r="B33" s="10" t="inlineStr">
        <is>
          <t>S686</t>
        </is>
      </c>
      <c r="C33" s="10" t="inlineStr">
        <is>
          <t>—</t>
        </is>
      </c>
      <c r="D33" s="10" t="inlineStr">
        <is>
          <t>—</t>
        </is>
      </c>
      <c r="E33" s="10" t="inlineStr">
        <is>
          <t>—</t>
        </is>
      </c>
      <c r="F33" s="10" t="inlineStr">
        <is>
          <t>không giới hạn</t>
        </is>
      </c>
      <c r="G33" s="10" t="inlineStr">
        <is>
          <t>Chính thức 和平精英</t>
        </is>
      </c>
      <c r="H33" s="10" t="inlineStr">
        <is>
          <t>—</t>
        </is>
      </c>
      <c r="I33" s="10" t="inlineStr">
        <is>
          <t>—</t>
        </is>
      </c>
      <c r="J33" s="10" t="inlineStr">
        <is>
          <t>—</t>
        </is>
      </c>
      <c r="K33" s="10" t="n">
        <v>0</v>
      </c>
      <c r="L33" s="10" t="str">
        <f>IF($G33="Không có nguồn","—",IF(C33=H33,"Khớp","KHÁC"))</f>
        <v>Khớp</v>
      </c>
      <c r="M33" s="10" t="str">
        <f>IF($G33="Không có nguồn","—",IF(D33=I33,"Khớp","KHÁC"))</f>
        <v>Khớp</v>
      </c>
      <c r="N33" s="10" t="str">
        <f>IF($G33="Không có nguồn","—",IF(E33=J33,"Khớp","KHÁC"))</f>
        <v>Khớp</v>
      </c>
      <c r="O33" s="10" t="str">
        <f>IF($G33="Không có nguồn","—",IF(F33=K33,"Khớp","KHÁC"))</f>
        <v>KHÁC</v>
      </c>
      <c r="P33" s="10" t="inlineStr">
        <is>
          <t>Ống ngắm: hiện tại không giới hạn, nguồn không lắp được ống ngắm | nòng ngoài app: Choke (bộ thu hẹp đạn); báng ngoài app: Túi đạn (Bullet Loops)</t>
        </is>
      </c>
      <c r="Q33" s="10" t="inlineStr">
        <is>
          <t>Sửa theo nguồn: Ống ngắm</t>
        </is>
      </c>
    </row>
    <row r="34">
      <c r="A34" s="10" t="inlineStr">
        <is>
          <t>S12K</t>
        </is>
      </c>
      <c r="B34" s="10" t="inlineStr">
        <is>
          <t>S12K</t>
        </is>
      </c>
      <c r="C34" s="10" t="inlineStr">
        <is>
          <t>COMPENSATOR, FLASH_HIDER, SUPPRESSOR</t>
        </is>
      </c>
      <c r="D34" s="10" t="inlineStr">
        <is>
          <t>—</t>
        </is>
      </c>
      <c r="E34" s="10" t="inlineStr">
        <is>
          <t>—</t>
        </is>
      </c>
      <c r="F34" s="10" t="n">
        <v>6</v>
      </c>
      <c r="G34" s="10" t="inlineStr">
        <is>
          <t>Chính thức 和平精英</t>
        </is>
      </c>
      <c r="H34" s="10" t="inlineStr">
        <is>
          <t>COMPENSATOR, FLASH_HIDER, SUPPRESSOR</t>
        </is>
      </c>
      <c r="I34" s="10" t="inlineStr">
        <is>
          <t>—</t>
        </is>
      </c>
      <c r="J34" s="10" t="inlineStr">
        <is>
          <t>—</t>
        </is>
      </c>
      <c r="K34" s="10" t="n">
        <v>6</v>
      </c>
      <c r="L34" s="10" t="str">
        <f>IF($G34="Không có nguồn","—",IF(C34=H34,"Khớp","KHÁC"))</f>
        <v>Khớp</v>
      </c>
      <c r="M34" s="10" t="str">
        <f>IF($G34="Không có nguồn","—",IF(D34=I34,"Khớp","KHÁC"))</f>
        <v>Khớp</v>
      </c>
      <c r="N34" s="10" t="str">
        <f>IF($G34="Không có nguồn","—",IF(E34=J34,"Khớp","KHÁC"))</f>
        <v>Khớp</v>
      </c>
      <c r="O34" s="10" t="str">
        <f>IF($G34="Không có nguồn","—",IF(F34=K34,"Khớp","KHÁC"))</f>
        <v>Khớp</v>
      </c>
      <c r="P34" s="10" t="inlineStr">
        <is>
          <t xml:space="preserve"> | nòng ngoài app: Duckbill (mõ vịt)</t>
        </is>
      </c>
      <c r="Q34" s="10" t="inlineStr">
        <is>
          <t>Giữ nguyên (khớp)</t>
        </is>
      </c>
    </row>
  </sheetData>
  <autoFilter ref="A4:Q34"/>
  <conditionalFormatting sqref="L5:O34">
    <cfRule type="cellIs" priority="1" operator="equal" dxfId="0">
      <formula>"KHÁC"</formula>
    </cfRule>
    <cfRule type="cellIs" priority="2" operator="equal" dxfId="1">
      <formula>"Khớp"</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9" customWidth="1" min="4" max="4"/>
    <col width="11" customWidth="1" min="5" max="5"/>
    <col width="30" customWidth="1" min="6" max="6"/>
    <col width="30" customWidth="1" min="7" max="7"/>
    <col width="36" customWidth="1" min="8" max="8"/>
    <col width="40" customWidth="1" min="9" max="9"/>
    <col width="30" customWidth="1" min="10" max="10"/>
    <col width="36" customWidth="1" min="11" max="11"/>
    <col width="14" customWidth="1" min="12" max="12"/>
    <col width="30" customWidth="1" min="13" max="13"/>
    <col width="11" customWidth="1" min="14" max="14"/>
    <col width="11" customWidth="1" min="15" max="15"/>
  </cols>
  <sheetData>
    <row r="1">
      <c r="A1" s="1" t="inlineStr">
        <is>
          <t>Dữ liệu chính thức của Tencent: kho vũ khí 和平精英 (45 vũ khí)</t>
        </is>
      </c>
    </row>
    <row r="2">
      <c r="A2" s="2" t="inlineStr">
        <is>
          <t>Nguồn: https://gp.qq.com/zlkdatasys/data_zlk_hpjywqzlk1.json (trang https://gp.qq.com/cp/a20251120arsenal/index.html). Cột "nguyên văn" là câu gốc tiếng Trung của Tencent. Trang ghi: dữ liệu do người chơi thu thập, lấy thông số trong game làm chuẩn.</t>
        </is>
      </c>
    </row>
    <row r="4" ht="44" customHeight="1">
      <c r="A4" s="9" t="inlineStr">
        <is>
          <t>Loại</t>
        </is>
      </c>
      <c r="B4" s="9" t="inlineStr">
        <is>
          <t>Tên (Tencent)</t>
        </is>
      </c>
      <c r="C4" s="9" t="inlineStr">
        <is>
          <t>Mã (app)</t>
        </is>
      </c>
      <c r="D4" s="9" t="inlineStr">
        <is>
          <t>ID</t>
        </is>
      </c>
      <c r="E4" s="9" t="inlineStr">
        <is>
          <t>Đạn</t>
        </is>
      </c>
      <c r="F4" s="9" t="inlineStr">
        <is>
          <t>Đầu nòng: nguyên văn</t>
        </is>
      </c>
      <c r="G4" s="9" t="inlineStr">
        <is>
          <t>Băng đạn: nguyên văn</t>
        </is>
      </c>
      <c r="H4" s="9" t="inlineStr">
        <is>
          <t>Ống ngắm: nguyên văn</t>
        </is>
      </c>
      <c r="I4" s="9" t="inlineStr">
        <is>
          <t>Tay cầm/báng: nguyên văn</t>
        </is>
      </c>
      <c r="J4" s="9" t="inlineStr">
        <is>
          <t>Nòng (app)</t>
        </is>
      </c>
      <c r="K4" s="9" t="inlineStr">
        <is>
          <t>Tay cầm (app)</t>
        </is>
      </c>
      <c r="L4" s="9" t="inlineStr">
        <is>
          <t>Báng (app)</t>
        </is>
      </c>
      <c r="M4" s="9" t="inlineStr">
        <is>
          <t>Ngoài danh sách app</t>
        </is>
      </c>
      <c r="N4" s="9" t="inlineStr">
        <is>
          <t>Ống ngắm tối đa</t>
        </is>
      </c>
      <c r="O4" s="9" t="inlineStr">
        <is>
          <t>Ống ngắm bên</t>
        </is>
      </c>
    </row>
    <row r="5">
      <c r="A5" s="10" t="inlineStr">
        <is>
          <t>Súng trường tấn công (AR)</t>
        </is>
      </c>
      <c r="B5" s="10" t="inlineStr">
        <is>
          <t>AKM</t>
        </is>
      </c>
      <c r="C5" s="10" t="inlineStr">
        <is>
          <t>AKM</t>
        </is>
      </c>
      <c r="D5" s="10" t="inlineStr">
        <is>
          <t>101001</t>
        </is>
      </c>
      <c r="E5" s="10" t="inlineStr">
        <is>
          <t>7.62mm</t>
        </is>
      </c>
      <c r="F5" s="10" t="inlineStr">
        <is>
          <t>步枪补偿器、步枪消焰器、步枪消音器；</t>
        </is>
      </c>
      <c r="G5" s="10" t="inlineStr">
        <is>
          <t>步枪扩容弹匣、步枪快速弹匣、步枪快速扩容弹匣；</t>
        </is>
      </c>
      <c r="H5" s="10" t="inlineStr">
        <is>
          <t>6倍镜、4倍镜、3倍镜、2倍镜、全息瞄准镜、红点瞄准镜、侧瞄准镜</t>
        </is>
      </c>
      <c r="I5" s="10" t="inlineStr"/>
      <c r="J5" s="10" t="inlineStr">
        <is>
          <t>COMPENSATOR, FLASH_HIDER, SUPPRESSOR</t>
        </is>
      </c>
      <c r="K5" s="10" t="inlineStr">
        <is>
          <t>—</t>
        </is>
      </c>
      <c r="L5" s="10" t="inlineStr">
        <is>
          <t>—</t>
        </is>
      </c>
      <c r="M5" s="10" t="inlineStr">
        <is>
          <t>—</t>
        </is>
      </c>
      <c r="N5" s="10" t="n">
        <v>6</v>
      </c>
      <c r="O5" s="10" t="inlineStr">
        <is>
          <t>có</t>
        </is>
      </c>
    </row>
    <row r="6">
      <c r="A6" s="10" t="inlineStr">
        <is>
          <t>Súng trường tấn công (AR)</t>
        </is>
      </c>
      <c r="B6" s="10" t="inlineStr">
        <is>
          <t>M16A4</t>
        </is>
      </c>
      <c r="C6" s="10" t="inlineStr">
        <is>
          <t>M16</t>
        </is>
      </c>
      <c r="D6" s="10" t="inlineStr">
        <is>
          <t>101002</t>
        </is>
      </c>
      <c r="E6" s="10" t="inlineStr">
        <is>
          <t>5.56mm</t>
        </is>
      </c>
      <c r="F6" s="10" t="inlineStr">
        <is>
          <t>步枪补偿器、步枪消焰器、步枪消音器；</t>
        </is>
      </c>
      <c r="G6" s="10" t="inlineStr">
        <is>
          <t>步枪扩容弹匣、步枪快速弹匣、步枪快速扩容弹匣；</t>
        </is>
      </c>
      <c r="H6" s="10" t="inlineStr">
        <is>
          <t>6倍镜、4倍镜、3倍镜、2倍镜、全息瞄准镜、红点瞄准镜、侧瞄准镜；</t>
        </is>
      </c>
      <c r="I6" s="10" t="inlineStr">
        <is>
          <t>战术枪托</t>
        </is>
      </c>
      <c r="J6" s="10" t="inlineStr">
        <is>
          <t>COMPENSATOR, FLASH_HIDER, SUPPRESSOR</t>
        </is>
      </c>
      <c r="K6" s="10" t="inlineStr">
        <is>
          <t>—</t>
        </is>
      </c>
      <c r="L6" s="10" t="inlineStr">
        <is>
          <t>GENERAL</t>
        </is>
      </c>
      <c r="M6" s="10" t="inlineStr">
        <is>
          <t>—</t>
        </is>
      </c>
      <c r="N6" s="10" t="n">
        <v>6</v>
      </c>
      <c r="O6" s="10" t="inlineStr">
        <is>
          <t>có</t>
        </is>
      </c>
    </row>
    <row r="7">
      <c r="A7" s="10" t="inlineStr">
        <is>
          <t>Súng trường tấn công (AR)</t>
        </is>
      </c>
      <c r="B7" s="10" t="inlineStr">
        <is>
          <t>M416</t>
        </is>
      </c>
      <c r="C7" s="10" t="inlineStr">
        <is>
          <t>M416</t>
        </is>
      </c>
      <c r="D7" s="10" t="inlineStr">
        <is>
          <t>101004</t>
        </is>
      </c>
      <c r="E7" s="10" t="inlineStr">
        <is>
          <t>5.56mm</t>
        </is>
      </c>
      <c r="F7" s="10" t="inlineStr">
        <is>
          <t>步枪补偿器、步枪消焰器、步枪消音器；</t>
        </is>
      </c>
      <c r="G7" s="10" t="inlineStr">
        <is>
          <t>步枪扩容弹匣、步枪快速弹匣、步枪快速扩容弹匣；</t>
        </is>
      </c>
      <c r="H7" s="10" t="inlineStr">
        <is>
          <t>6倍镜、4倍镜、3倍镜、2倍镜、全息瞄准镜、红点瞄准镜、侧瞄准镜；</t>
        </is>
      </c>
      <c r="I7" s="10" t="inlineStr">
        <is>
          <t>战术枪托、直角前握把、垂直握把、拇指握把、轻型握把、半截式握把、激光瞄准镜</t>
        </is>
      </c>
      <c r="J7" s="10" t="inlineStr">
        <is>
          <t>COMPENSATOR, FLASH_HIDER, SUPPRESSOR</t>
        </is>
      </c>
      <c r="K7" s="10" t="inlineStr">
        <is>
          <t>HALF, HORIZONTAL, LASER, LIGHT, THUMB, VERTICAL</t>
        </is>
      </c>
      <c r="L7" s="10" t="inlineStr">
        <is>
          <t>GENERAL</t>
        </is>
      </c>
      <c r="M7" s="10" t="inlineStr">
        <is>
          <t>—</t>
        </is>
      </c>
      <c r="N7" s="10" t="n">
        <v>6</v>
      </c>
      <c r="O7" s="10" t="inlineStr">
        <is>
          <t>có</t>
        </is>
      </c>
    </row>
    <row r="8">
      <c r="A8" s="10" t="inlineStr">
        <is>
          <t>Súng trường tấn công (AR)</t>
        </is>
      </c>
      <c r="B8" s="10" t="inlineStr">
        <is>
          <t>SCAR-L</t>
        </is>
      </c>
      <c r="C8" s="10" t="inlineStr">
        <is>
          <t>Scar</t>
        </is>
      </c>
      <c r="D8" s="10" t="inlineStr">
        <is>
          <t>101003</t>
        </is>
      </c>
      <c r="E8" s="10" t="inlineStr">
        <is>
          <t>5.56mm</t>
        </is>
      </c>
      <c r="F8" s="10" t="inlineStr">
        <is>
          <t>步枪补偿器、步枪消焰器、步枪消音器；</t>
        </is>
      </c>
      <c r="G8" s="10" t="inlineStr">
        <is>
          <t>步枪扩容弹匣、步枪快速弹匣、步枪快速扩容弹匣；</t>
        </is>
      </c>
      <c r="H8" s="10" t="inlineStr">
        <is>
          <t>6倍镜、4倍镜、3倍镜、2倍镜、全息瞄准镜、红点瞄准镜、侧瞄准镜；</t>
        </is>
      </c>
      <c r="I8" s="10" t="inlineStr">
        <is>
          <t>直角前握把、垂直握把、拇指握把、轻型握把、半截式握把、激光瞄准器</t>
        </is>
      </c>
      <c r="J8" s="10" t="inlineStr">
        <is>
          <t>COMPENSATOR, FLASH_HIDER, SUPPRESSOR</t>
        </is>
      </c>
      <c r="K8" s="10" t="inlineStr">
        <is>
          <t>HALF, HORIZONTAL, LASER, LIGHT, THUMB, VERTICAL</t>
        </is>
      </c>
      <c r="L8" s="10" t="inlineStr">
        <is>
          <t>—</t>
        </is>
      </c>
      <c r="M8" s="10" t="inlineStr">
        <is>
          <t>—</t>
        </is>
      </c>
      <c r="N8" s="10" t="n">
        <v>6</v>
      </c>
      <c r="O8" s="10" t="inlineStr">
        <is>
          <t>có</t>
        </is>
      </c>
    </row>
    <row r="9">
      <c r="A9" s="10" t="inlineStr">
        <is>
          <t>Súng trường tấn công (AR)</t>
        </is>
      </c>
      <c r="B9" s="10" t="inlineStr">
        <is>
          <t>Groza</t>
        </is>
      </c>
      <c r="C9" s="10" t="inlineStr">
        <is>
          <t>Groza</t>
        </is>
      </c>
      <c r="D9" s="10" t="inlineStr">
        <is>
          <t>101005</t>
        </is>
      </c>
      <c r="E9" s="10" t="inlineStr">
        <is>
          <t>7.62mm</t>
        </is>
      </c>
      <c r="F9" s="10" t="inlineStr">
        <is>
          <t>步枪消音器；</t>
        </is>
      </c>
      <c r="G9" s="10" t="inlineStr">
        <is>
          <t>步枪扩容弹匣、步枪快速弹匣、步枪快速扩容弹匣；</t>
        </is>
      </c>
      <c r="H9" s="10" t="inlineStr">
        <is>
          <t>6倍镜、4倍镜、3倍镜、2倍镜、全息瞄准镜、红点瞄准镜、侧瞄准镜</t>
        </is>
      </c>
      <c r="I9" s="10" t="inlineStr"/>
      <c r="J9" s="10" t="inlineStr">
        <is>
          <t>SUPPRESSOR</t>
        </is>
      </c>
      <c r="K9" s="10" t="inlineStr">
        <is>
          <t>—</t>
        </is>
      </c>
      <c r="L9" s="10" t="inlineStr">
        <is>
          <t>—</t>
        </is>
      </c>
      <c r="M9" s="10" t="inlineStr">
        <is>
          <t>—</t>
        </is>
      </c>
      <c r="N9" s="10" t="n">
        <v>6</v>
      </c>
      <c r="O9" s="10" t="inlineStr">
        <is>
          <t>có</t>
        </is>
      </c>
    </row>
    <row r="10">
      <c r="A10" s="10" t="inlineStr">
        <is>
          <t>Súng trường tấn công (AR)</t>
        </is>
      </c>
      <c r="B10" s="10" t="inlineStr">
        <is>
          <t>AUG</t>
        </is>
      </c>
      <c r="C10" s="10" t="inlineStr">
        <is>
          <t>AUG</t>
        </is>
      </c>
      <c r="D10" s="10" t="inlineStr">
        <is>
          <t>101006</t>
        </is>
      </c>
      <c r="E10" s="10" t="inlineStr">
        <is>
          <t>5.56mm</t>
        </is>
      </c>
      <c r="F10" s="10" t="inlineStr">
        <is>
          <t>步枪补偿器、步枪消焰器、步枪消音器；</t>
        </is>
      </c>
      <c r="G10" s="10" t="inlineStr">
        <is>
          <t>步枪扩容弹匣、步枪快速弹匣、步枪快速扩容弹匣；</t>
        </is>
      </c>
      <c r="H10" s="10" t="inlineStr">
        <is>
          <t>6倍镜、4倍镜、3倍镜、2倍镜、全息瞄准镜、红点瞄准镜、侧瞄准镜；</t>
        </is>
      </c>
      <c r="I10" s="10" t="inlineStr">
        <is>
          <t>直角前握把、垂直握把、拇指握把、轻型握把、半截式握把、激光瞄准器</t>
        </is>
      </c>
      <c r="J10" s="10" t="inlineStr">
        <is>
          <t>COMPENSATOR, FLASH_HIDER, SUPPRESSOR</t>
        </is>
      </c>
      <c r="K10" s="10" t="inlineStr">
        <is>
          <t>HALF, HORIZONTAL, LASER, LIGHT, THUMB, VERTICAL</t>
        </is>
      </c>
      <c r="L10" s="10" t="inlineStr">
        <is>
          <t>—</t>
        </is>
      </c>
      <c r="M10" s="10" t="inlineStr">
        <is>
          <t>—</t>
        </is>
      </c>
      <c r="N10" s="10" t="n">
        <v>6</v>
      </c>
      <c r="O10" s="10" t="inlineStr">
        <is>
          <t>có</t>
        </is>
      </c>
    </row>
    <row r="11">
      <c r="A11" s="10" t="inlineStr">
        <is>
          <t>Súng trường tấn công (AR)</t>
        </is>
      </c>
      <c r="B11" s="10" t="inlineStr">
        <is>
          <t>QBZ</t>
        </is>
      </c>
      <c r="C11" s="10" t="inlineStr">
        <is>
          <t>QBZ</t>
        </is>
      </c>
      <c r="D11" s="10" t="inlineStr">
        <is>
          <t>101007</t>
        </is>
      </c>
      <c r="E11" s="10" t="inlineStr">
        <is>
          <t>5.56mm</t>
        </is>
      </c>
      <c r="F11" s="10" t="inlineStr">
        <is>
          <t>步枪补偿器、步枪消焰器、步枪消音器；</t>
        </is>
      </c>
      <c r="G11" s="10" t="inlineStr">
        <is>
          <t>步枪扩容弹匣、步枪快速弹匣、步枪快速扩容弹匣；</t>
        </is>
      </c>
      <c r="H11" s="10" t="inlineStr">
        <is>
          <t>6倍镜、4倍镜、3倍镜、2倍镜、全息瞄准镜、红点瞄准镜、侧瞄准镜；</t>
        </is>
      </c>
      <c r="I11" s="10" t="inlineStr">
        <is>
          <t>直角前握把、垂直握把、拇指握把、轻型握把、半截式握把、激光瞄准器</t>
        </is>
      </c>
      <c r="J11" s="10" t="inlineStr">
        <is>
          <t>COMPENSATOR, FLASH_HIDER, SUPPRESSOR</t>
        </is>
      </c>
      <c r="K11" s="10" t="inlineStr">
        <is>
          <t>HALF, HORIZONTAL, LASER, LIGHT, THUMB, VERTICAL</t>
        </is>
      </c>
      <c r="L11" s="10" t="inlineStr">
        <is>
          <t>—</t>
        </is>
      </c>
      <c r="M11" s="10" t="inlineStr">
        <is>
          <t>—</t>
        </is>
      </c>
      <c r="N11" s="10" t="n">
        <v>6</v>
      </c>
      <c r="O11" s="10" t="inlineStr">
        <is>
          <t>có</t>
        </is>
      </c>
    </row>
    <row r="12">
      <c r="A12" s="10" t="inlineStr">
        <is>
          <t>Súng trường tấn công (AR)</t>
        </is>
      </c>
      <c r="B12" s="10" t="inlineStr">
        <is>
          <t>M762</t>
        </is>
      </c>
      <c r="C12" s="10" t="inlineStr">
        <is>
          <t>M762</t>
        </is>
      </c>
      <c r="D12" s="10" t="inlineStr">
        <is>
          <t>101008</t>
        </is>
      </c>
      <c r="E12" s="10" t="inlineStr">
        <is>
          <t>7.62mm</t>
        </is>
      </c>
      <c r="F12" s="10" t="inlineStr">
        <is>
          <t>步枪补偿器、步枪消焰器、步枪消音器；</t>
        </is>
      </c>
      <c r="G12" s="10" t="inlineStr">
        <is>
          <t>步枪扩容弹匣、步枪快速弹匣、步枪快速扩容弹匣；</t>
        </is>
      </c>
      <c r="H12" s="10" t="inlineStr">
        <is>
          <t>6倍镜、4倍镜、3倍镜、2倍镜、全息瞄准镜、红点瞄准镜、侧瞄准镜；</t>
        </is>
      </c>
      <c r="I12" s="10" t="inlineStr">
        <is>
          <t>直角前握把、垂直握把、拇指握把、轻型握把、半截式握把、激光瞄准器</t>
        </is>
      </c>
      <c r="J12" s="10" t="inlineStr">
        <is>
          <t>COMPENSATOR, FLASH_HIDER, SUPPRESSOR</t>
        </is>
      </c>
      <c r="K12" s="10" t="inlineStr">
        <is>
          <t>HALF, HORIZONTAL, LASER, LIGHT, THUMB, VERTICAL</t>
        </is>
      </c>
      <c r="L12" s="10" t="inlineStr">
        <is>
          <t>—</t>
        </is>
      </c>
      <c r="M12" s="10" t="inlineStr">
        <is>
          <t>—</t>
        </is>
      </c>
      <c r="N12" s="10" t="n">
        <v>6</v>
      </c>
      <c r="O12" s="10" t="inlineStr">
        <is>
          <t>có</t>
        </is>
      </c>
    </row>
    <row r="13">
      <c r="A13" s="10" t="inlineStr">
        <is>
          <t>Súng trường tấn công (AR)</t>
        </is>
      </c>
      <c r="B13" s="10" t="inlineStr">
        <is>
          <t>MK47</t>
        </is>
      </c>
      <c r="C13" s="10" t="inlineStr">
        <is>
          <t>MK47</t>
        </is>
      </c>
      <c r="D13" s="10" t="inlineStr">
        <is>
          <t>101009</t>
        </is>
      </c>
      <c r="E13" s="10" t="inlineStr">
        <is>
          <t>7.62mm</t>
        </is>
      </c>
      <c r="F13" s="10" t="inlineStr">
        <is>
          <t>步枪补偿器、步枪消焰器、步枪消音器；</t>
        </is>
      </c>
      <c r="G13" s="10" t="inlineStr">
        <is>
          <t>步枪扩容弹匣、步枪快速弹匣、步枪快速扩容弹匣；</t>
        </is>
      </c>
      <c r="H13" s="10" t="inlineStr">
        <is>
          <t>6倍镜、4倍镜、3倍镜、2倍镜、全息瞄准镜、红点瞄准镜、侧瞄准镜；</t>
        </is>
      </c>
      <c r="I13" s="10" t="inlineStr">
        <is>
          <t>战术枪托、直角前握把、垂直握把、拇指握把、轻型握把、半截式握把、激光瞄准器</t>
        </is>
      </c>
      <c r="J13" s="10" t="inlineStr">
        <is>
          <t>COMPENSATOR, FLASH_HIDER, SUPPRESSOR</t>
        </is>
      </c>
      <c r="K13" s="10" t="inlineStr">
        <is>
          <t>HALF, HORIZONTAL, LASER, LIGHT, THUMB, VERTICAL</t>
        </is>
      </c>
      <c r="L13" s="10" t="inlineStr">
        <is>
          <t>GENERAL</t>
        </is>
      </c>
      <c r="M13" s="10" t="inlineStr">
        <is>
          <t>—</t>
        </is>
      </c>
      <c r="N13" s="10" t="n">
        <v>6</v>
      </c>
      <c r="O13" s="10" t="inlineStr">
        <is>
          <t>có</t>
        </is>
      </c>
    </row>
    <row r="14">
      <c r="A14" s="10" t="inlineStr">
        <is>
          <t>Súng trường tấn công (AR)</t>
        </is>
      </c>
      <c r="B14" s="10" t="inlineStr">
        <is>
          <t>G36C</t>
        </is>
      </c>
      <c r="C14" s="10" t="inlineStr">
        <is>
          <t>G36C</t>
        </is>
      </c>
      <c r="D14" s="10" t="inlineStr">
        <is>
          <t>101010</t>
        </is>
      </c>
      <c r="E14" s="10" t="inlineStr">
        <is>
          <t>5.56mm</t>
        </is>
      </c>
      <c r="F14" s="10" t="inlineStr">
        <is>
          <t>步枪补偿器、步枪消焰器、步枪消音器；</t>
        </is>
      </c>
      <c r="G14" s="10" t="inlineStr">
        <is>
          <t>步枪扩容弹匣、步枪快速弹匣、步枪快速扩容弹匣；</t>
        </is>
      </c>
      <c r="H14" s="10" t="inlineStr">
        <is>
          <t>6倍镜、4倍镜、3倍镜、2倍镜、全息瞄准镜、红点瞄准镜、侧瞄准镜；</t>
        </is>
      </c>
      <c r="I14" s="10" t="inlineStr">
        <is>
          <t>直角前握把、垂直握把、拇指握把、轻型握把、半截式握把、激光瞄准器</t>
        </is>
      </c>
      <c r="J14" s="10" t="inlineStr">
        <is>
          <t>COMPENSATOR, FLASH_HIDER, SUPPRESSOR</t>
        </is>
      </c>
      <c r="K14" s="10" t="inlineStr">
        <is>
          <t>HALF, HORIZONTAL, LASER, LIGHT, THUMB, VERTICAL</t>
        </is>
      </c>
      <c r="L14" s="10" t="inlineStr">
        <is>
          <t>—</t>
        </is>
      </c>
      <c r="M14" s="10" t="inlineStr">
        <is>
          <t>—</t>
        </is>
      </c>
      <c r="N14" s="10" t="n">
        <v>6</v>
      </c>
      <c r="O14" s="10" t="inlineStr">
        <is>
          <t>có</t>
        </is>
      </c>
    </row>
    <row r="15">
      <c r="A15" s="10" t="inlineStr">
        <is>
          <t>Súng trường xạ thủ (DMR)</t>
        </is>
      </c>
      <c r="B15" s="10" t="inlineStr">
        <is>
          <t>VSS</t>
        </is>
      </c>
      <c r="C15" s="10" t="inlineStr">
        <is>
          <t>VSS</t>
        </is>
      </c>
      <c r="D15" s="10" t="inlineStr">
        <is>
          <t>103005</t>
        </is>
      </c>
      <c r="E15" s="10" t="inlineStr">
        <is>
          <t>9mm</t>
        </is>
      </c>
      <c r="F15" s="10" t="inlineStr"/>
      <c r="G15" s="10" t="inlineStr">
        <is>
          <t>狙击枪/步枪扩容弹匣、狙击枪/步枪快速弹匣、狙击枪/步枪快速扩容弹匣；</t>
        </is>
      </c>
      <c r="H15" s="10" t="inlineStr"/>
      <c r="I15" s="10" t="inlineStr">
        <is>
          <t>托腮板；</t>
        </is>
      </c>
      <c r="J15" s="10" t="inlineStr">
        <is>
          <t>—</t>
        </is>
      </c>
      <c r="K15" s="10" t="inlineStr">
        <is>
          <t>—</t>
        </is>
      </c>
      <c r="L15" s="10" t="inlineStr">
        <is>
          <t>—</t>
        </is>
      </c>
      <c r="M15" s="10" t="inlineStr">
        <is>
          <t>Ốp má (Cheek Pad)</t>
        </is>
      </c>
      <c r="N15" s="10" t="n">
        <v>0</v>
      </c>
      <c r="O15" s="10" t="inlineStr">
        <is>
          <t>không</t>
        </is>
      </c>
    </row>
    <row r="16">
      <c r="A16" s="10" t="inlineStr">
        <is>
          <t>Súng trường xạ thủ (DMR)</t>
        </is>
      </c>
      <c r="B16" s="10" t="inlineStr">
        <is>
          <t>SKS</t>
        </is>
      </c>
      <c r="C16" s="10" t="inlineStr">
        <is>
          <t>SKS</t>
        </is>
      </c>
      <c r="D16" s="10" t="inlineStr">
        <is>
          <t>103004</t>
        </is>
      </c>
      <c r="E16" s="10" t="inlineStr">
        <is>
          <t>7.62mm</t>
        </is>
      </c>
      <c r="F16" s="10" t="inlineStr">
        <is>
          <t>狙击枪/步枪口补偿器、狙击枪/步枪消焰器、狙击枪/步枪消音器；</t>
        </is>
      </c>
      <c r="G16" s="10" t="inlineStr">
        <is>
          <t>狙击枪/步枪扩容弹匣、狙击枪/步枪快速弹匣、狙击枪/步枪快速扩容弹匣；</t>
        </is>
      </c>
      <c r="H16" s="10" t="inlineStr">
        <is>
          <t>8倍镜、6倍镜、4倍镜、3倍镜、2倍镜、全息瞄准镜、红点瞄准镜、侧瞄准镜；</t>
        </is>
      </c>
      <c r="I16" s="10" t="inlineStr">
        <is>
          <t>托腮板、直角前握把、垂直握把、拇指握把、轻型握把、半截式握把、激光瞄准器；</t>
        </is>
      </c>
      <c r="J16" s="10" t="inlineStr">
        <is>
          <t>COMPENSATOR, FLASH_HIDER, SUPPRESSOR</t>
        </is>
      </c>
      <c r="K16" s="10" t="inlineStr">
        <is>
          <t>HALF, HORIZONTAL, LASER, LIGHT, THUMB, VERTICAL</t>
        </is>
      </c>
      <c r="L16" s="10" t="inlineStr">
        <is>
          <t>—</t>
        </is>
      </c>
      <c r="M16" s="10" t="inlineStr">
        <is>
          <t>Ốp má (Cheek Pad)</t>
        </is>
      </c>
      <c r="N16" s="10" t="n">
        <v>8</v>
      </c>
      <c r="O16" s="10" t="inlineStr">
        <is>
          <t>có</t>
        </is>
      </c>
    </row>
    <row r="17">
      <c r="A17" s="10" t="inlineStr">
        <is>
          <t>Súng trường xạ thủ (DMR)</t>
        </is>
      </c>
      <c r="B17" s="10" t="inlineStr">
        <is>
          <t>Mk14</t>
        </is>
      </c>
      <c r="C17" s="10" t="inlineStr">
        <is>
          <t>MK14</t>
        </is>
      </c>
      <c r="D17" s="10" t="inlineStr">
        <is>
          <t>103007</t>
        </is>
      </c>
      <c r="E17" s="10" t="inlineStr">
        <is>
          <t>7.62mm</t>
        </is>
      </c>
      <c r="F17" s="10" t="inlineStr">
        <is>
          <t>狙击枪/步枪口补偿器、狙击枪/步枪消焰器、狙击枪/步枪消音器；</t>
        </is>
      </c>
      <c r="G17" s="10" t="inlineStr">
        <is>
          <t>狙击枪/步枪扩容弹匣、狙击枪/步枪快速弹匣、狙击枪/步枪快速扩容弹匣；</t>
        </is>
      </c>
      <c r="H17" s="10" t="inlineStr">
        <is>
          <t>8倍镜、6倍镜、4倍镜、3倍镜、2倍镜、全息瞄准镜、红点瞄准镜、侧瞄准镜；</t>
        </is>
      </c>
      <c r="I17" s="10" t="inlineStr">
        <is>
          <t>托腮板；</t>
        </is>
      </c>
      <c r="J17" s="10" t="inlineStr">
        <is>
          <t>COMPENSATOR, FLASH_HIDER, SUPPRESSOR</t>
        </is>
      </c>
      <c r="K17" s="10" t="inlineStr">
        <is>
          <t>—</t>
        </is>
      </c>
      <c r="L17" s="10" t="inlineStr">
        <is>
          <t>—</t>
        </is>
      </c>
      <c r="M17" s="10" t="inlineStr">
        <is>
          <t>Ốp má (Cheek Pad)</t>
        </is>
      </c>
      <c r="N17" s="10" t="n">
        <v>8</v>
      </c>
      <c r="O17" s="10" t="inlineStr">
        <is>
          <t>có</t>
        </is>
      </c>
    </row>
    <row r="18">
      <c r="A18" s="10" t="inlineStr">
        <is>
          <t>Súng trường xạ thủ (DMR)</t>
        </is>
      </c>
      <c r="B18" s="10" t="inlineStr">
        <is>
          <t>Mini14</t>
        </is>
      </c>
      <c r="C18" s="10" t="inlineStr">
        <is>
          <t>Mini14</t>
        </is>
      </c>
      <c r="D18" s="10" t="inlineStr">
        <is>
          <t>103006</t>
        </is>
      </c>
      <c r="E18" s="10" t="inlineStr">
        <is>
          <t>5.56mm</t>
        </is>
      </c>
      <c r="F18" s="10" t="inlineStr">
        <is>
          <t>狙击枪/步枪口补偿器、狙击枪/步枪消焰器、狙击枪/步枪消音器；</t>
        </is>
      </c>
      <c r="G18" s="10" t="inlineStr">
        <is>
          <t>狙击枪/步枪扩容弹匣、狙击枪/步枪快速弹匣、狙击枪/步枪快速扩容弹匣；</t>
        </is>
      </c>
      <c r="H18" s="10" t="inlineStr">
        <is>
          <t>8倍镜、6倍镜、4倍镜、3倍镜、2倍镜、全息瞄准镜、红点瞄准镜、侧瞄准镜；</t>
        </is>
      </c>
      <c r="I18" s="10" t="inlineStr"/>
      <c r="J18" s="10" t="inlineStr">
        <is>
          <t>COMPENSATOR, FLASH_HIDER, SUPPRESSOR</t>
        </is>
      </c>
      <c r="K18" s="10" t="inlineStr">
        <is>
          <t>—</t>
        </is>
      </c>
      <c r="L18" s="10" t="inlineStr">
        <is>
          <t>—</t>
        </is>
      </c>
      <c r="M18" s="10" t="inlineStr">
        <is>
          <t>—</t>
        </is>
      </c>
      <c r="N18" s="10" t="n">
        <v>8</v>
      </c>
      <c r="O18" s="10" t="inlineStr">
        <is>
          <t>có</t>
        </is>
      </c>
    </row>
    <row r="19">
      <c r="A19" s="10" t="inlineStr">
        <is>
          <t>Súng trường xạ thủ (DMR)</t>
        </is>
      </c>
      <c r="B19" s="10" t="inlineStr">
        <is>
          <t>SLR</t>
        </is>
      </c>
      <c r="C19" s="10" t="inlineStr">
        <is>
          <t>SLR</t>
        </is>
      </c>
      <c r="D19" s="10" t="inlineStr">
        <is>
          <t>103009</t>
        </is>
      </c>
      <c r="E19" s="10" t="inlineStr">
        <is>
          <t>7.62mm</t>
        </is>
      </c>
      <c r="F19" s="10" t="inlineStr">
        <is>
          <t>狙击枪/步枪口补偿器、狙击枪/步枪消焰器、狙击枪/步枪消音器；</t>
        </is>
      </c>
      <c r="G19" s="10" t="inlineStr">
        <is>
          <t>狙击枪/步枪扩容弹匣、狙击枪/步枪快速弹匣、狙击枪/步枪快速扩容弹匣；</t>
        </is>
      </c>
      <c r="H19" s="10" t="inlineStr">
        <is>
          <t>8倍镜、6倍镜、4倍镜、3倍镜、2倍镜、全息瞄准镜、红点瞄准镜、侧瞄准镜；</t>
        </is>
      </c>
      <c r="I19" s="10" t="inlineStr">
        <is>
          <t>托腮板；</t>
        </is>
      </c>
      <c r="J19" s="10" t="inlineStr">
        <is>
          <t>COMPENSATOR, FLASH_HIDER, SUPPRESSOR</t>
        </is>
      </c>
      <c r="K19" s="10" t="inlineStr">
        <is>
          <t>—</t>
        </is>
      </c>
      <c r="L19" s="10" t="inlineStr">
        <is>
          <t>—</t>
        </is>
      </c>
      <c r="M19" s="10" t="inlineStr">
        <is>
          <t>Ốp má (Cheek Pad)</t>
        </is>
      </c>
      <c r="N19" s="10" t="n">
        <v>8</v>
      </c>
      <c r="O19" s="10" t="inlineStr">
        <is>
          <t>có</t>
        </is>
      </c>
    </row>
    <row r="20">
      <c r="A20" s="10" t="inlineStr">
        <is>
          <t>Súng trường xạ thủ (DMR)</t>
        </is>
      </c>
      <c r="B20" s="10" t="inlineStr">
        <is>
          <t>QBU</t>
        </is>
      </c>
      <c r="C20" s="10" t="inlineStr">
        <is>
          <t>QBU</t>
        </is>
      </c>
      <c r="D20" s="10" t="inlineStr">
        <is>
          <t>103010</t>
        </is>
      </c>
      <c r="E20" s="10" t="inlineStr">
        <is>
          <t>5.56mm</t>
        </is>
      </c>
      <c r="F20" s="10" t="inlineStr">
        <is>
          <t>狙击枪/步枪口补偿器、狙击枪/步枪消焰器、狙击枪/步枪消音器；</t>
        </is>
      </c>
      <c r="G20" s="10" t="inlineStr">
        <is>
          <t>狙击枪/步枪扩容弹匣、狙击枪/步枪快速弹匣、狙击枪/步枪快速扩容弹匣；</t>
        </is>
      </c>
      <c r="H20" s="10" t="inlineStr">
        <is>
          <t>8倍镜、6倍镜、4倍镜、3倍镜、2倍镜、全息瞄准镜、红点瞄准镜、侧瞄准镜；</t>
        </is>
      </c>
      <c r="I20" s="10" t="inlineStr"/>
      <c r="J20" s="10" t="inlineStr">
        <is>
          <t>COMPENSATOR, FLASH_HIDER, SUPPRESSOR</t>
        </is>
      </c>
      <c r="K20" s="10" t="inlineStr">
        <is>
          <t>—</t>
        </is>
      </c>
      <c r="L20" s="10" t="inlineStr">
        <is>
          <t>—</t>
        </is>
      </c>
      <c r="M20" s="10" t="inlineStr">
        <is>
          <t>—</t>
        </is>
      </c>
      <c r="N20" s="10" t="n">
        <v>8</v>
      </c>
      <c r="O20" s="10" t="inlineStr">
        <is>
          <t>có</t>
        </is>
      </c>
    </row>
    <row r="21">
      <c r="A21" s="10" t="inlineStr">
        <is>
          <t>Súng bắn tỉa (SR)</t>
        </is>
      </c>
      <c r="B21" s="10" t="inlineStr">
        <is>
          <t>AWM</t>
        </is>
      </c>
      <c r="C21" s="10" t="inlineStr">
        <is>
          <t>AWM</t>
        </is>
      </c>
      <c r="D21" s="10" t="inlineStr">
        <is>
          <t>103003</t>
        </is>
      </c>
      <c r="E21" s="10" t="inlineStr">
        <is>
          <t>马格南</t>
        </is>
      </c>
      <c r="F21" s="10" t="inlineStr">
        <is>
          <t>狙击枪口补偿器、狙击枪消焰器、狙击枪消音器；</t>
        </is>
      </c>
      <c r="G21" s="10" t="inlineStr">
        <is>
          <t>狙击枪扩容弹夹、狙击枪快速弹夹、狙击枪快速扩容弹夹；</t>
        </is>
      </c>
      <c r="H21" s="10" t="inlineStr">
        <is>
          <t>8倍镜、6倍镜、4倍镜、3倍镜、2倍镜、全息瞄准镜、红点瞄准镜、侧瞄准镜；</t>
        </is>
      </c>
      <c r="I21" s="10" t="inlineStr">
        <is>
          <t>托腮板</t>
        </is>
      </c>
      <c r="J21" s="10" t="inlineStr">
        <is>
          <t>COMPENSATOR, FLASH_HIDER, SUPPRESSOR</t>
        </is>
      </c>
      <c r="K21" s="10" t="inlineStr">
        <is>
          <t>—</t>
        </is>
      </c>
      <c r="L21" s="10" t="inlineStr">
        <is>
          <t>—</t>
        </is>
      </c>
      <c r="M21" s="10" t="inlineStr">
        <is>
          <t>Ốp má (Cheek Pad)</t>
        </is>
      </c>
      <c r="N21" s="10" t="n">
        <v>8</v>
      </c>
      <c r="O21" s="10" t="inlineStr">
        <is>
          <t>có</t>
        </is>
      </c>
    </row>
    <row r="22">
      <c r="A22" s="10" t="inlineStr">
        <is>
          <t>Súng bắn tỉa (SR)</t>
        </is>
      </c>
      <c r="B22" s="10" t="inlineStr">
        <is>
          <t>Kar98k</t>
        </is>
      </c>
      <c r="C22" s="10" t="inlineStr">
        <is>
          <t>Kar98K</t>
        </is>
      </c>
      <c r="D22" s="10" t="inlineStr">
        <is>
          <t>103001</t>
        </is>
      </c>
      <c r="E22" s="10" t="inlineStr">
        <is>
          <t>7.62mm</t>
        </is>
      </c>
      <c r="F22" s="10" t="inlineStr">
        <is>
          <t>狙击枪口补偿器、狙击枪消焰器、狙击枪消音器；</t>
        </is>
      </c>
      <c r="G22" s="10" t="inlineStr"/>
      <c r="H22" s="10" t="inlineStr">
        <is>
          <t>8倍镜、6倍镜、4倍镜、3倍镜、2倍镜、全息瞄准镜、红点瞄准镜、侧瞄准镜；</t>
        </is>
      </c>
      <c r="I22" s="10" t="inlineStr">
        <is>
          <t>子弹袋、托腮板</t>
        </is>
      </c>
      <c r="J22" s="10" t="inlineStr">
        <is>
          <t>COMPENSATOR, FLASH_HIDER, SUPPRESSOR</t>
        </is>
      </c>
      <c r="K22" s="10" t="inlineStr">
        <is>
          <t>—</t>
        </is>
      </c>
      <c r="L22" s="10" t="inlineStr">
        <is>
          <t>—</t>
        </is>
      </c>
      <c r="M22" s="10" t="inlineStr">
        <is>
          <t>Túi đạn (Bullet Loops), Ốp má (Cheek Pad)</t>
        </is>
      </c>
      <c r="N22" s="10" t="n">
        <v>8</v>
      </c>
      <c r="O22" s="10" t="inlineStr">
        <is>
          <t>có</t>
        </is>
      </c>
    </row>
    <row r="23">
      <c r="A23" s="10" t="inlineStr">
        <is>
          <t>Súng bắn tỉa (SR)</t>
        </is>
      </c>
      <c r="B23" s="10" t="inlineStr">
        <is>
          <t>M24</t>
        </is>
      </c>
      <c r="C23" s="10" t="inlineStr">
        <is>
          <t>M24</t>
        </is>
      </c>
      <c r="D23" s="10" t="inlineStr">
        <is>
          <t>103002</t>
        </is>
      </c>
      <c r="E23" s="10" t="inlineStr">
        <is>
          <t>7.62mm</t>
        </is>
      </c>
      <c r="F23" s="10" t="inlineStr">
        <is>
          <t>狙击枪口补偿器、狙击枪消焰器、狙击枪消音器；</t>
        </is>
      </c>
      <c r="G23" s="10" t="inlineStr">
        <is>
          <t>狙击枪扩容弹匣、狙击枪快速弹匣、狙击枪快速扩容弹匣；</t>
        </is>
      </c>
      <c r="H23" s="10" t="inlineStr">
        <is>
          <t>8倍镜、6倍镜、4倍镜、3倍镜、2倍镜、全息瞄准镜、红点瞄准镜、侧瞄准镜；</t>
        </is>
      </c>
      <c r="I23" s="10" t="inlineStr">
        <is>
          <t>托腮板</t>
        </is>
      </c>
      <c r="J23" s="10" t="inlineStr">
        <is>
          <t>COMPENSATOR, FLASH_HIDER, SUPPRESSOR</t>
        </is>
      </c>
      <c r="K23" s="10" t="inlineStr">
        <is>
          <t>—</t>
        </is>
      </c>
      <c r="L23" s="10" t="inlineStr">
        <is>
          <t>—</t>
        </is>
      </c>
      <c r="M23" s="10" t="inlineStr">
        <is>
          <t>Ốp má (Cheek Pad)</t>
        </is>
      </c>
      <c r="N23" s="10" t="n">
        <v>8</v>
      </c>
      <c r="O23" s="10" t="inlineStr">
        <is>
          <t>có</t>
        </is>
      </c>
    </row>
    <row r="24">
      <c r="A24" s="10" t="inlineStr">
        <is>
          <t>Súng bắn tỉa (SR)</t>
        </is>
      </c>
      <c r="B24" s="10" t="inlineStr">
        <is>
          <t>win94</t>
        </is>
      </c>
      <c r="C24" s="10" t="inlineStr">
        <is>
          <t>Win94</t>
        </is>
      </c>
      <c r="D24" s="10" t="inlineStr">
        <is>
          <t>103008</t>
        </is>
      </c>
      <c r="E24" s="10" t="inlineStr">
        <is>
          <t>.45口径</t>
        </is>
      </c>
      <c r="F24" s="10" t="inlineStr"/>
      <c r="G24" s="10" t="inlineStr"/>
      <c r="H24" s="10" t="inlineStr"/>
      <c r="I24" s="10" t="inlineStr">
        <is>
          <t>子弹袋</t>
        </is>
      </c>
      <c r="J24" s="10" t="inlineStr">
        <is>
          <t>—</t>
        </is>
      </c>
      <c r="K24" s="10" t="inlineStr">
        <is>
          <t>—</t>
        </is>
      </c>
      <c r="L24" s="10" t="inlineStr">
        <is>
          <t>—</t>
        </is>
      </c>
      <c r="M24" s="10" t="inlineStr">
        <is>
          <t>Túi đạn (Bullet Loops)</t>
        </is>
      </c>
      <c r="N24" s="10" t="n">
        <v>0</v>
      </c>
      <c r="O24" s="10" t="inlineStr">
        <is>
          <t>không</t>
        </is>
      </c>
    </row>
    <row r="25">
      <c r="A25" s="10" t="inlineStr">
        <is>
          <t>Súng tiểu liên (SMG)</t>
        </is>
      </c>
      <c r="B25" s="10" t="inlineStr">
        <is>
          <t>UZI</t>
        </is>
      </c>
      <c r="C25" s="10" t="inlineStr">
        <is>
          <t>UZI</t>
        </is>
      </c>
      <c r="D25" s="10" t="inlineStr">
        <is>
          <t>102001</t>
        </is>
      </c>
      <c r="E25" s="10" t="inlineStr">
        <is>
          <t>9mm</t>
        </is>
      </c>
      <c r="F25" s="10" t="inlineStr">
        <is>
          <t>冲锋枪枪口补偿器、冲锋枪消焰器、冲锋枪消音器；</t>
        </is>
      </c>
      <c r="G25" s="10" t="inlineStr">
        <is>
          <t>冲锋枪扩容弹匣、冲锋枪快速弹匣、冲锋枪快速扩容弹匣；</t>
        </is>
      </c>
      <c r="H25" s="10" t="inlineStr">
        <is>
          <t>全息瞄准镜、红点瞄准镜；</t>
        </is>
      </c>
      <c r="I25" s="10" t="inlineStr">
        <is>
          <t>枪托</t>
        </is>
      </c>
      <c r="J25" s="10" t="inlineStr">
        <is>
          <t>COMPENSATOR, FLASH_HIDER, SUPPRESSOR</t>
        </is>
      </c>
      <c r="K25" s="10" t="inlineStr">
        <is>
          <t>—</t>
        </is>
      </c>
      <c r="L25" s="10" t="inlineStr">
        <is>
          <t>GENERAL</t>
        </is>
      </c>
      <c r="M25" s="10" t="inlineStr">
        <is>
          <t>—</t>
        </is>
      </c>
      <c r="N25" s="10" t="n">
        <v>1</v>
      </c>
      <c r="O25" s="10" t="inlineStr">
        <is>
          <t>không</t>
        </is>
      </c>
    </row>
    <row r="26">
      <c r="A26" s="10" t="inlineStr">
        <is>
          <t>Súng tiểu liên (SMG)</t>
        </is>
      </c>
      <c r="B26" s="10" t="inlineStr">
        <is>
          <t>汤姆逊</t>
        </is>
      </c>
      <c r="C26" s="10" t="inlineStr">
        <is>
          <t>Thomson</t>
        </is>
      </c>
      <c r="D26" s="10" t="inlineStr">
        <is>
          <t>102004</t>
        </is>
      </c>
      <c r="E26" s="10" t="inlineStr">
        <is>
          <t>.45口径</t>
        </is>
      </c>
      <c r="F26" s="10" t="inlineStr">
        <is>
          <t>冲锋枪消音器；</t>
        </is>
      </c>
      <c r="G26" s="10" t="inlineStr">
        <is>
          <t>冲锋枪扩容弹匣、冲锋枪快速弹匣、冲锋枪快速扩容弹匣；</t>
        </is>
      </c>
      <c r="H26" s="10" t="inlineStr">
        <is>
          <t>全息瞄准镜、红点瞄准镜；</t>
        </is>
      </c>
      <c r="I26" s="10" t="inlineStr">
        <is>
          <t>垂直握把</t>
        </is>
      </c>
      <c r="J26" s="10" t="inlineStr">
        <is>
          <t>SUPPRESSOR</t>
        </is>
      </c>
      <c r="K26" s="10" t="inlineStr">
        <is>
          <t>VERTICAL</t>
        </is>
      </c>
      <c r="L26" s="10" t="inlineStr">
        <is>
          <t>—</t>
        </is>
      </c>
      <c r="M26" s="10" t="inlineStr">
        <is>
          <t>—</t>
        </is>
      </c>
      <c r="N26" s="10" t="n">
        <v>1</v>
      </c>
      <c r="O26" s="10" t="inlineStr">
        <is>
          <t>không</t>
        </is>
      </c>
    </row>
    <row r="27">
      <c r="A27" s="10" t="inlineStr">
        <is>
          <t>Súng tiểu liên (SMG)</t>
        </is>
      </c>
      <c r="B27" s="10" t="inlineStr">
        <is>
          <t>UMP45</t>
        </is>
      </c>
      <c r="C27" s="10" t="inlineStr">
        <is>
          <t>UMP45</t>
        </is>
      </c>
      <c r="D27" s="10" t="inlineStr">
        <is>
          <t>102002</t>
        </is>
      </c>
      <c r="E27" s="10" t="inlineStr">
        <is>
          <t>.45口径</t>
        </is>
      </c>
      <c r="F27" s="10" t="inlineStr">
        <is>
          <t>冲锋枪枪口补偿器、冲锋枪消焰器、冲锋枪消音器；</t>
        </is>
      </c>
      <c r="G27" s="10" t="inlineStr">
        <is>
          <t>冲锋枪扩容弹匣、冲锋枪快速弹匣、冲锋枪快速扩容弹匣；</t>
        </is>
      </c>
      <c r="H27" s="10" t="inlineStr">
        <is>
          <t>6倍镜、4倍镜、3倍镜、2倍镜、全息瞄准镜、红点瞄准镜、侧瞄准镜；</t>
        </is>
      </c>
      <c r="I27" s="10" t="inlineStr">
        <is>
          <t>直角前握把、垂直握把、拇指握把、轻型握把、半截式握把、激光瞄准器</t>
        </is>
      </c>
      <c r="J27" s="10" t="inlineStr">
        <is>
          <t>COMPENSATOR, FLASH_HIDER, SUPPRESSOR</t>
        </is>
      </c>
      <c r="K27" s="10" t="inlineStr">
        <is>
          <t>HALF, HORIZONTAL, LASER, LIGHT, THUMB, VERTICAL</t>
        </is>
      </c>
      <c r="L27" s="10" t="inlineStr">
        <is>
          <t>—</t>
        </is>
      </c>
      <c r="M27" s="10" t="inlineStr">
        <is>
          <t>—</t>
        </is>
      </c>
      <c r="N27" s="10" t="n">
        <v>6</v>
      </c>
      <c r="O27" s="10" t="inlineStr">
        <is>
          <t>có</t>
        </is>
      </c>
    </row>
    <row r="28">
      <c r="A28" s="10" t="inlineStr">
        <is>
          <t>Súng tiểu liên (SMG)</t>
        </is>
      </c>
      <c r="B28" s="10" t="inlineStr">
        <is>
          <t>Vector</t>
        </is>
      </c>
      <c r="C28" s="10" t="inlineStr">
        <is>
          <t>Vector</t>
        </is>
      </c>
      <c r="D28" s="10" t="inlineStr">
        <is>
          <t>102003</t>
        </is>
      </c>
      <c r="E28" s="10" t="inlineStr">
        <is>
          <t>9mm</t>
        </is>
      </c>
      <c r="F28" s="10" t="inlineStr">
        <is>
          <t>冲锋枪枪口补偿器、冲锋枪消焰器、冲锋枪消音器；</t>
        </is>
      </c>
      <c r="G28" s="10" t="inlineStr">
        <is>
          <t>冲锋枪扩容弹匣、冲锋枪快速弹匣、冲锋枪快速扩容弹匣；</t>
        </is>
      </c>
      <c r="H28" s="10" t="inlineStr">
        <is>
          <t>6倍镜、4倍镜、3倍镜、2倍镜、全息瞄准镜、红点瞄准镜、侧瞄准镜；</t>
        </is>
      </c>
      <c r="I28" s="10" t="inlineStr">
        <is>
          <t>战术枪托、垂直握把、轻型握把、半截式握把、激光瞄准器</t>
        </is>
      </c>
      <c r="J28" s="10" t="inlineStr">
        <is>
          <t>COMPENSATOR, FLASH_HIDER, SUPPRESSOR</t>
        </is>
      </c>
      <c r="K28" s="10" t="inlineStr">
        <is>
          <t>HALF, LASER, LIGHT, VERTICAL</t>
        </is>
      </c>
      <c r="L28" s="10" t="inlineStr">
        <is>
          <t>GENERAL</t>
        </is>
      </c>
      <c r="M28" s="10" t="inlineStr">
        <is>
          <t>—</t>
        </is>
      </c>
      <c r="N28" s="10" t="n">
        <v>6</v>
      </c>
      <c r="O28" s="10" t="inlineStr">
        <is>
          <t>có</t>
        </is>
      </c>
    </row>
    <row r="29">
      <c r="A29" s="10" t="inlineStr">
        <is>
          <t>Súng tiểu liên (SMG)</t>
        </is>
      </c>
      <c r="B29" s="10" t="inlineStr">
        <is>
          <t>野牛冲锋枪</t>
        </is>
      </c>
      <c r="C29" s="10" t="inlineStr">
        <is>
          <t>Bison</t>
        </is>
      </c>
      <c r="D29" s="10" t="inlineStr">
        <is>
          <t>102005</t>
        </is>
      </c>
      <c r="E29" s="10" t="inlineStr">
        <is>
          <t>9mm</t>
        </is>
      </c>
      <c r="F29" s="10" t="inlineStr">
        <is>
          <t>冲锋枪枪口补偿器、冲锋枪消焰器、冲锋枪消音器；</t>
        </is>
      </c>
      <c r="G29" s="10" t="inlineStr"/>
      <c r="H29" s="10" t="inlineStr">
        <is>
          <t>6倍镜、4倍镜、3倍镜、2倍镜、全息瞄准镜、红点瞄准镜、侧瞄准镜</t>
        </is>
      </c>
      <c r="I29" s="10" t="inlineStr"/>
      <c r="J29" s="10" t="inlineStr">
        <is>
          <t>COMPENSATOR, FLASH_HIDER, SUPPRESSOR</t>
        </is>
      </c>
      <c r="K29" s="10" t="inlineStr">
        <is>
          <t>—</t>
        </is>
      </c>
      <c r="L29" s="10" t="inlineStr">
        <is>
          <t>—</t>
        </is>
      </c>
      <c r="M29" s="10" t="inlineStr">
        <is>
          <t>—</t>
        </is>
      </c>
      <c r="N29" s="10" t="n">
        <v>6</v>
      </c>
      <c r="O29" s="10" t="inlineStr">
        <is>
          <t>có</t>
        </is>
      </c>
    </row>
    <row r="30">
      <c r="A30" s="10" t="inlineStr">
        <is>
          <t>Shotgun (SG)</t>
        </is>
      </c>
      <c r="B30" s="10" t="inlineStr">
        <is>
          <t>S12K</t>
        </is>
      </c>
      <c r="C30" s="10" t="inlineStr">
        <is>
          <t>S12K</t>
        </is>
      </c>
      <c r="D30" s="10" t="inlineStr">
        <is>
          <t>104003</t>
        </is>
      </c>
      <c r="E30" s="10" t="inlineStr">
        <is>
          <t>12号口径</t>
        </is>
      </c>
      <c r="F30" s="10" t="inlineStr">
        <is>
          <t>步枪补偿器、步枪消焰器、步枪消音器、鸭嘴枪口；</t>
        </is>
      </c>
      <c r="G30" s="10" t="inlineStr">
        <is>
          <t>步枪扩容弹匣、步枪快速弹匣、步枪快速扩容弹匣；</t>
        </is>
      </c>
      <c r="H30" s="10" t="inlineStr">
        <is>
          <t>6倍镜、4倍镜、3倍镜、2倍镜、全息瞄准镜、红点瞄准镜、侧瞄准镜</t>
        </is>
      </c>
      <c r="I30" s="10" t="inlineStr"/>
      <c r="J30" s="10" t="inlineStr">
        <is>
          <t>COMPENSATOR, FLASH_HIDER, SUPPRESSOR</t>
        </is>
      </c>
      <c r="K30" s="10" t="inlineStr">
        <is>
          <t>—</t>
        </is>
      </c>
      <c r="L30" s="10" t="inlineStr">
        <is>
          <t>—</t>
        </is>
      </c>
      <c r="M30" s="10" t="inlineStr">
        <is>
          <t>Duckbill (mõ vịt)</t>
        </is>
      </c>
      <c r="N30" s="10" t="n">
        <v>6</v>
      </c>
      <c r="O30" s="10" t="inlineStr">
        <is>
          <t>có</t>
        </is>
      </c>
    </row>
    <row r="31">
      <c r="A31" s="10" t="inlineStr">
        <is>
          <t>Shotgun (SG)</t>
        </is>
      </c>
      <c r="B31" s="10" t="inlineStr">
        <is>
          <t>S1897</t>
        </is>
      </c>
      <c r="C31" s="10" t="inlineStr">
        <is>
          <t>S1897</t>
        </is>
      </c>
      <c r="D31" s="10" t="inlineStr">
        <is>
          <t>104002</t>
        </is>
      </c>
      <c r="E31" s="10" t="inlineStr">
        <is>
          <t>12号口径</t>
        </is>
      </c>
      <c r="F31" s="10" t="inlineStr">
        <is>
          <t>霰弹收束器、鸭嘴枪口；</t>
        </is>
      </c>
      <c r="G31" s="10" t="inlineStr"/>
      <c r="H31" s="10" t="inlineStr"/>
      <c r="I31" s="10" t="inlineStr">
        <is>
          <t>子弹袋</t>
        </is>
      </c>
      <c r="J31" s="10" t="inlineStr">
        <is>
          <t>—</t>
        </is>
      </c>
      <c r="K31" s="10" t="inlineStr">
        <is>
          <t>—</t>
        </is>
      </c>
      <c r="L31" s="10" t="inlineStr">
        <is>
          <t>—</t>
        </is>
      </c>
      <c r="M31" s="10" t="inlineStr">
        <is>
          <t>Choke (bộ thu hẹp đạn), Duckbill (mõ vịt), Túi đạn (Bullet Loops)</t>
        </is>
      </c>
      <c r="N31" s="10" t="n">
        <v>0</v>
      </c>
      <c r="O31" s="10" t="inlineStr">
        <is>
          <t>không</t>
        </is>
      </c>
    </row>
    <row r="32">
      <c r="A32" s="10" t="inlineStr">
        <is>
          <t>Shotgun (SG)</t>
        </is>
      </c>
      <c r="B32" s="10" t="inlineStr">
        <is>
          <t>S686</t>
        </is>
      </c>
      <c r="C32" s="10" t="inlineStr">
        <is>
          <t>S686</t>
        </is>
      </c>
      <c r="D32" s="10" t="inlineStr">
        <is>
          <t>104001</t>
        </is>
      </c>
      <c r="E32" s="10" t="inlineStr">
        <is>
          <t>12号口径</t>
        </is>
      </c>
      <c r="F32" s="10" t="inlineStr">
        <is>
          <t>霰弹收束器；</t>
        </is>
      </c>
      <c r="G32" s="10" t="inlineStr"/>
      <c r="H32" s="10" t="inlineStr"/>
      <c r="I32" s="10" t="inlineStr">
        <is>
          <t>子弹袋</t>
        </is>
      </c>
      <c r="J32" s="10" t="inlineStr">
        <is>
          <t>—</t>
        </is>
      </c>
      <c r="K32" s="10" t="inlineStr">
        <is>
          <t>—</t>
        </is>
      </c>
      <c r="L32" s="10" t="inlineStr">
        <is>
          <t>—</t>
        </is>
      </c>
      <c r="M32" s="10" t="inlineStr">
        <is>
          <t>Choke (bộ thu hẹp đạn), Túi đạn (Bullet Loops)</t>
        </is>
      </c>
      <c r="N32" s="10" t="n">
        <v>0</v>
      </c>
      <c r="O32" s="10" t="inlineStr">
        <is>
          <t>không</t>
        </is>
      </c>
    </row>
    <row r="33">
      <c r="A33" s="10" t="inlineStr">
        <is>
          <t>Shotgun (SG)</t>
        </is>
      </c>
      <c r="B33" s="10" t="inlineStr">
        <is>
          <t>DBS</t>
        </is>
      </c>
      <c r="C33" s="10" t="inlineStr">
        <is>
          <t>DBS</t>
        </is>
      </c>
      <c r="D33" s="10" t="inlineStr">
        <is>
          <t>104004</t>
        </is>
      </c>
      <c r="E33" s="10" t="inlineStr">
        <is>
          <t>12号口径</t>
        </is>
      </c>
      <c r="F33" s="10" t="inlineStr"/>
      <c r="G33" s="10" t="inlineStr"/>
      <c r="H33" s="10" t="inlineStr">
        <is>
          <t>6倍镜、4倍镜、3倍镜、2倍镜、全息瞄准镜、红点瞄准镜、侧瞄准镜</t>
        </is>
      </c>
      <c r="I33" s="10" t="inlineStr"/>
      <c r="J33" s="10" t="inlineStr">
        <is>
          <t>—</t>
        </is>
      </c>
      <c r="K33" s="10" t="inlineStr">
        <is>
          <t>—</t>
        </is>
      </c>
      <c r="L33" s="10" t="inlineStr">
        <is>
          <t>—</t>
        </is>
      </c>
      <c r="M33" s="10" t="inlineStr">
        <is>
          <t>—</t>
        </is>
      </c>
      <c r="N33" s="10" t="n">
        <v>6</v>
      </c>
      <c r="O33" s="10" t="inlineStr">
        <is>
          <t>có</t>
        </is>
      </c>
    </row>
    <row r="34">
      <c r="A34" s="10" t="inlineStr">
        <is>
          <t>Súng máy (LMG)</t>
        </is>
      </c>
      <c r="B34" s="10" t="inlineStr">
        <is>
          <t>M249</t>
        </is>
      </c>
      <c r="C34" s="10" t="inlineStr">
        <is>
          <t>M249</t>
        </is>
      </c>
      <c r="D34" s="10" t="inlineStr">
        <is>
          <t>105001</t>
        </is>
      </c>
      <c r="E34" s="10" t="inlineStr">
        <is>
          <t>5.56mm</t>
        </is>
      </c>
      <c r="F34" s="10" t="inlineStr"/>
      <c r="G34" s="10" t="inlineStr"/>
      <c r="H34" s="10" t="inlineStr">
        <is>
          <t>6倍镜、4倍镜、3倍镜、2倍镜、全息瞄准镜、红点瞄准镜、侧瞄准镜</t>
        </is>
      </c>
      <c r="I34" s="10" t="inlineStr"/>
      <c r="J34" s="10" t="inlineStr">
        <is>
          <t>—</t>
        </is>
      </c>
      <c r="K34" s="10" t="inlineStr">
        <is>
          <t>—</t>
        </is>
      </c>
      <c r="L34" s="10" t="inlineStr">
        <is>
          <t>—</t>
        </is>
      </c>
      <c r="M34" s="10" t="inlineStr">
        <is>
          <t>—</t>
        </is>
      </c>
      <c r="N34" s="10" t="n">
        <v>6</v>
      </c>
      <c r="O34" s="10" t="inlineStr">
        <is>
          <t>có</t>
        </is>
      </c>
    </row>
    <row r="35">
      <c r="A35" s="10" t="inlineStr">
        <is>
          <t>Súng máy (LMG)</t>
        </is>
      </c>
      <c r="B35" s="10" t="inlineStr">
        <is>
          <t>DP-28</t>
        </is>
      </c>
      <c r="C35" s="10" t="inlineStr">
        <is>
          <t>DP28</t>
        </is>
      </c>
      <c r="D35" s="10" t="inlineStr">
        <is>
          <t>105002</t>
        </is>
      </c>
      <c r="E35" s="10" t="inlineStr">
        <is>
          <t>7.62mm</t>
        </is>
      </c>
      <c r="F35" s="10" t="inlineStr"/>
      <c r="G35" s="10" t="inlineStr"/>
      <c r="H35" s="10" t="inlineStr">
        <is>
          <t>6倍镜、4倍镜、3倍镜、2倍镜、全息瞄准镜、红点瞄准镜</t>
        </is>
      </c>
      <c r="I35" s="10" t="inlineStr"/>
      <c r="J35" s="10" t="inlineStr">
        <is>
          <t>—</t>
        </is>
      </c>
      <c r="K35" s="10" t="inlineStr">
        <is>
          <t>—</t>
        </is>
      </c>
      <c r="L35" s="10" t="inlineStr">
        <is>
          <t>—</t>
        </is>
      </c>
      <c r="M35" s="10" t="inlineStr">
        <is>
          <t>—</t>
        </is>
      </c>
      <c r="N35" s="10" t="n">
        <v>6</v>
      </c>
      <c r="O35" s="10" t="inlineStr">
        <is>
          <t>không</t>
        </is>
      </c>
    </row>
    <row r="36">
      <c r="A36" s="10" t="inlineStr">
        <is>
          <t>Súng máy (LMG)</t>
        </is>
      </c>
      <c r="B36" s="10" t="inlineStr">
        <is>
          <t>MG3轻机枪</t>
        </is>
      </c>
      <c r="C36" s="10" t="inlineStr">
        <is>
          <t>MG3</t>
        </is>
      </c>
      <c r="D36" s="10" t="inlineStr">
        <is>
          <t>105003</t>
        </is>
      </c>
      <c r="E36" s="10" t="inlineStr">
        <is>
          <t>7.62mm</t>
        </is>
      </c>
      <c r="F36" s="10" t="inlineStr"/>
      <c r="G36" s="10" t="inlineStr"/>
      <c r="H36" s="10" t="inlineStr">
        <is>
          <t>红点、全息、2倍镜、3倍镜、4倍镜、6倍镜。</t>
        </is>
      </c>
      <c r="I36" s="10" t="inlineStr"/>
      <c r="J36" s="10" t="inlineStr">
        <is>
          <t>—</t>
        </is>
      </c>
      <c r="K36" s="10" t="inlineStr">
        <is>
          <t>—</t>
        </is>
      </c>
      <c r="L36" s="10" t="inlineStr">
        <is>
          <t>—</t>
        </is>
      </c>
      <c r="M36" s="10" t="inlineStr">
        <is>
          <t>—</t>
        </is>
      </c>
      <c r="N36" s="10" t="n">
        <v>6</v>
      </c>
      <c r="O36" s="10" t="inlineStr">
        <is>
          <t>không</t>
        </is>
      </c>
    </row>
    <row r="37">
      <c r="A37" s="10" t="inlineStr">
        <is>
          <t>Súng ngắn</t>
        </is>
      </c>
      <c r="B37" s="10" t="inlineStr">
        <is>
          <t>P1911</t>
        </is>
      </c>
      <c r="C37" s="10" t="inlineStr">
        <is>
          <t>(không có mã trong app)</t>
        </is>
      </c>
      <c r="D37" s="10" t="inlineStr">
        <is>
          <t>106002</t>
        </is>
      </c>
      <c r="E37" s="10" t="inlineStr">
        <is>
          <t>.45口径</t>
        </is>
      </c>
      <c r="F37" s="10" t="inlineStr">
        <is>
          <t>手枪消音器；</t>
        </is>
      </c>
      <c r="G37" s="10" t="inlineStr">
        <is>
          <t>手枪扩容弹匣、手枪快速弹匣、手枪快速扩容弹匣；</t>
        </is>
      </c>
      <c r="H37" s="10" t="inlineStr">
        <is>
          <t>全息瞄准镜、红点瞄准镜；</t>
        </is>
      </c>
      <c r="I37" s="10" t="inlineStr">
        <is>
          <t>激光瞄准器</t>
        </is>
      </c>
      <c r="J37" s="10" t="inlineStr">
        <is>
          <t>SUPPRESSOR</t>
        </is>
      </c>
      <c r="K37" s="10" t="inlineStr">
        <is>
          <t>LASER</t>
        </is>
      </c>
      <c r="L37" s="10" t="inlineStr">
        <is>
          <t>—</t>
        </is>
      </c>
      <c r="M37" s="10" t="inlineStr">
        <is>
          <t>—</t>
        </is>
      </c>
      <c r="N37" s="10" t="n">
        <v>1</v>
      </c>
      <c r="O37" s="10" t="inlineStr">
        <is>
          <t>không</t>
        </is>
      </c>
    </row>
    <row r="38">
      <c r="A38" s="10" t="inlineStr">
        <is>
          <t>Súng ngắn</t>
        </is>
      </c>
      <c r="B38" s="10" t="inlineStr">
        <is>
          <t>P92</t>
        </is>
      </c>
      <c r="C38" s="10" t="inlineStr">
        <is>
          <t>(không có mã trong app)</t>
        </is>
      </c>
      <c r="D38" s="10" t="inlineStr">
        <is>
          <t>106001</t>
        </is>
      </c>
      <c r="E38" s="10" t="inlineStr">
        <is>
          <t>9mm</t>
        </is>
      </c>
      <c r="F38" s="10" t="inlineStr">
        <is>
          <t>手枪消音器；</t>
        </is>
      </c>
      <c r="G38" s="10" t="inlineStr">
        <is>
          <t>手枪扩容弹匣、手枪快速弹匣、手枪快速扩容弹匣；</t>
        </is>
      </c>
      <c r="H38" s="10" t="inlineStr">
        <is>
          <t>全息瞄准镜、红点瞄准镜；</t>
        </is>
      </c>
      <c r="I38" s="10" t="inlineStr">
        <is>
          <t>激光瞄准器</t>
        </is>
      </c>
      <c r="J38" s="10" t="inlineStr">
        <is>
          <t>SUPPRESSOR</t>
        </is>
      </c>
      <c r="K38" s="10" t="inlineStr">
        <is>
          <t>LASER</t>
        </is>
      </c>
      <c r="L38" s="10" t="inlineStr">
        <is>
          <t>—</t>
        </is>
      </c>
      <c r="M38" s="10" t="inlineStr">
        <is>
          <t>—</t>
        </is>
      </c>
      <c r="N38" s="10" t="n">
        <v>1</v>
      </c>
      <c r="O38" s="10" t="inlineStr">
        <is>
          <t>không</t>
        </is>
      </c>
    </row>
    <row r="39">
      <c r="A39" s="10" t="inlineStr">
        <is>
          <t>Súng ngắn</t>
        </is>
      </c>
      <c r="B39" s="10" t="inlineStr">
        <is>
          <t>R1895</t>
        </is>
      </c>
      <c r="C39" s="10" t="inlineStr">
        <is>
          <t>(không có mã trong app)</t>
        </is>
      </c>
      <c r="D39" s="10" t="inlineStr">
        <is>
          <t>106003</t>
        </is>
      </c>
      <c r="E39" s="10" t="inlineStr">
        <is>
          <t>7.62mm</t>
        </is>
      </c>
      <c r="F39" s="10" t="inlineStr">
        <is>
          <t>手枪消音器</t>
        </is>
      </c>
      <c r="G39" s="10" t="inlineStr"/>
      <c r="H39" s="10" t="inlineStr"/>
      <c r="I39" s="10" t="inlineStr"/>
      <c r="J39" s="10" t="inlineStr">
        <is>
          <t>SUPPRESSOR</t>
        </is>
      </c>
      <c r="K39" s="10" t="inlineStr">
        <is>
          <t>—</t>
        </is>
      </c>
      <c r="L39" s="10" t="inlineStr">
        <is>
          <t>—</t>
        </is>
      </c>
      <c r="M39" s="10" t="inlineStr">
        <is>
          <t>—</t>
        </is>
      </c>
      <c r="N39" s="10" t="n">
        <v>0</v>
      </c>
      <c r="O39" s="10" t="inlineStr">
        <is>
          <t>không</t>
        </is>
      </c>
    </row>
    <row r="40">
      <c r="A40" s="10" t="inlineStr">
        <is>
          <t>Súng ngắn</t>
        </is>
      </c>
      <c r="B40" s="10" t="inlineStr">
        <is>
          <t>P18C</t>
        </is>
      </c>
      <c r="C40" s="10" t="inlineStr">
        <is>
          <t>(không có mã trong app)</t>
        </is>
      </c>
      <c r="D40" s="10" t="inlineStr">
        <is>
          <t>106004</t>
        </is>
      </c>
      <c r="E40" s="10" t="inlineStr">
        <is>
          <t>9mm</t>
        </is>
      </c>
      <c r="F40" s="10" t="inlineStr">
        <is>
          <t>手枪消音器；</t>
        </is>
      </c>
      <c r="G40" s="10" t="inlineStr">
        <is>
          <t>手枪扩容弹匣、手枪快速弹匣、手枪快速扩容弹匣；</t>
        </is>
      </c>
      <c r="H40" s="10" t="inlineStr">
        <is>
          <t>全息瞄准镜、红点瞄准镜；</t>
        </is>
      </c>
      <c r="I40" s="10" t="inlineStr">
        <is>
          <t>激光瞄准器</t>
        </is>
      </c>
      <c r="J40" s="10" t="inlineStr">
        <is>
          <t>SUPPRESSOR</t>
        </is>
      </c>
      <c r="K40" s="10" t="inlineStr">
        <is>
          <t>LASER</t>
        </is>
      </c>
      <c r="L40" s="10" t="inlineStr">
        <is>
          <t>—</t>
        </is>
      </c>
      <c r="M40" s="10" t="inlineStr">
        <is>
          <t>—</t>
        </is>
      </c>
      <c r="N40" s="10" t="n">
        <v>1</v>
      </c>
      <c r="O40" s="10" t="inlineStr">
        <is>
          <t>không</t>
        </is>
      </c>
    </row>
    <row r="41">
      <c r="A41" s="10" t="inlineStr">
        <is>
          <t>Súng ngắn</t>
        </is>
      </c>
      <c r="B41" s="10" t="inlineStr">
        <is>
          <t>R45</t>
        </is>
      </c>
      <c r="C41" s="10" t="inlineStr">
        <is>
          <t>(không có mã trong app)</t>
        </is>
      </c>
      <c r="D41" s="10" t="inlineStr">
        <is>
          <t>106005</t>
        </is>
      </c>
      <c r="E41" s="10" t="inlineStr">
        <is>
          <t>.45口径</t>
        </is>
      </c>
      <c r="F41" s="10" t="inlineStr"/>
      <c r="G41" s="10" t="inlineStr"/>
      <c r="H41" s="10" t="inlineStr">
        <is>
          <t>全息瞄准镜、红点瞄准镜；</t>
        </is>
      </c>
      <c r="I41" s="10" t="inlineStr">
        <is>
          <t>激光瞄准器</t>
        </is>
      </c>
      <c r="J41" s="10" t="inlineStr">
        <is>
          <t>—</t>
        </is>
      </c>
      <c r="K41" s="10" t="inlineStr">
        <is>
          <t>LASER</t>
        </is>
      </c>
      <c r="L41" s="10" t="inlineStr">
        <is>
          <t>—</t>
        </is>
      </c>
      <c r="M41" s="10" t="inlineStr">
        <is>
          <t>—</t>
        </is>
      </c>
      <c r="N41" s="10" t="n">
        <v>1</v>
      </c>
      <c r="O41" s="10" t="inlineStr">
        <is>
          <t>không</t>
        </is>
      </c>
    </row>
    <row r="42">
      <c r="A42" s="10" t="inlineStr">
        <is>
          <t>Súng ngắn</t>
        </is>
      </c>
      <c r="B42" s="10" t="inlineStr">
        <is>
          <t>短管霰弹枪</t>
        </is>
      </c>
      <c r="C42" s="10" t="inlineStr">
        <is>
          <t>(không có mã trong app)</t>
        </is>
      </c>
      <c r="D42" s="10" t="inlineStr">
        <is>
          <t>106006</t>
        </is>
      </c>
      <c r="E42" s="10" t="inlineStr">
        <is>
          <t>12号口径</t>
        </is>
      </c>
      <c r="F42" s="10" t="inlineStr">
        <is>
          <t>霰弹收束器</t>
        </is>
      </c>
      <c r="G42" s="10" t="inlineStr"/>
      <c r="H42" s="10" t="inlineStr"/>
      <c r="I42" s="10" t="inlineStr"/>
      <c r="J42" s="10" t="inlineStr">
        <is>
          <t>—</t>
        </is>
      </c>
      <c r="K42" s="10" t="inlineStr">
        <is>
          <t>—</t>
        </is>
      </c>
      <c r="L42" s="10" t="inlineStr">
        <is>
          <t>—</t>
        </is>
      </c>
      <c r="M42" s="10" t="inlineStr">
        <is>
          <t>Choke (bộ thu hẹp đạn)</t>
        </is>
      </c>
      <c r="N42" s="10" t="n">
        <v>0</v>
      </c>
      <c r="O42" s="10" t="inlineStr">
        <is>
          <t>không</t>
        </is>
      </c>
    </row>
    <row r="43">
      <c r="A43" s="10" t="inlineStr">
        <is>
          <t>Súng ngắn</t>
        </is>
      </c>
      <c r="B43" s="10" t="inlineStr">
        <is>
          <t>信号枪</t>
        </is>
      </c>
      <c r="C43" s="10" t="inlineStr">
        <is>
          <t>(không có mã trong app)</t>
        </is>
      </c>
      <c r="D43" s="10" t="inlineStr">
        <is>
          <t>106007</t>
        </is>
      </c>
      <c r="E43" s="10" t="inlineStr">
        <is>
          <t>0mm</t>
        </is>
      </c>
      <c r="F43" s="10" t="inlineStr"/>
      <c r="G43" s="10" t="inlineStr"/>
      <c r="H43" s="10" t="inlineStr"/>
      <c r="I43" s="10" t="inlineStr"/>
      <c r="J43" s="10" t="inlineStr">
        <is>
          <t>—</t>
        </is>
      </c>
      <c r="K43" s="10" t="inlineStr">
        <is>
          <t>—</t>
        </is>
      </c>
      <c r="L43" s="10" t="inlineStr">
        <is>
          <t>—</t>
        </is>
      </c>
      <c r="M43" s="10" t="inlineStr">
        <is>
          <t>—</t>
        </is>
      </c>
      <c r="N43" s="10" t="n">
        <v>0</v>
      </c>
      <c r="O43" s="10" t="inlineStr">
        <is>
          <t>không</t>
        </is>
      </c>
    </row>
    <row r="44">
      <c r="A44" s="10" t="inlineStr">
        <is>
          <t>Súng ngắn</t>
        </is>
      </c>
      <c r="B44" s="10" t="inlineStr">
        <is>
          <t>蝎式手枪</t>
        </is>
      </c>
      <c r="C44" s="10" t="inlineStr">
        <is>
          <t>(không có mã trong app)</t>
        </is>
      </c>
      <c r="D44" s="10" t="inlineStr">
        <is>
          <t>106008</t>
        </is>
      </c>
      <c r="E44" s="10" t="inlineStr">
        <is>
          <t>9mm</t>
        </is>
      </c>
      <c r="F44" s="10" t="inlineStr">
        <is>
          <t>手枪消音器；</t>
        </is>
      </c>
      <c r="G44" s="10" t="inlineStr">
        <is>
          <t>手枪扩容弹匣；</t>
        </is>
      </c>
      <c r="H44" s="10" t="inlineStr">
        <is>
          <t>全息瞄准镜、红点瞄准镜；</t>
        </is>
      </c>
      <c r="I44" s="10" t="inlineStr">
        <is>
          <t>枪托、垂直握把、轻型握把、半截式握把、激光瞄准器；</t>
        </is>
      </c>
      <c r="J44" s="10" t="inlineStr">
        <is>
          <t>SUPPRESSOR</t>
        </is>
      </c>
      <c r="K44" s="10" t="inlineStr">
        <is>
          <t>HALF, LASER, LIGHT, VERTICAL</t>
        </is>
      </c>
      <c r="L44" s="10" t="inlineStr">
        <is>
          <t>GENERAL</t>
        </is>
      </c>
      <c r="M44" s="10" t="inlineStr">
        <is>
          <t>—</t>
        </is>
      </c>
      <c r="N44" s="10" t="n">
        <v>1</v>
      </c>
      <c r="O44" s="10" t="inlineStr">
        <is>
          <t>không</t>
        </is>
      </c>
    </row>
    <row r="45">
      <c r="A45" s="10" t="inlineStr">
        <is>
          <t>Cận chiến</t>
        </is>
      </c>
      <c r="B45" s="10" t="inlineStr">
        <is>
          <t>撬棍</t>
        </is>
      </c>
      <c r="C45" s="10" t="inlineStr">
        <is>
          <t>(không có mã trong app)</t>
        </is>
      </c>
      <c r="D45" s="10" t="inlineStr">
        <is>
          <t>108002</t>
        </is>
      </c>
      <c r="E45" s="10" t="inlineStr">
        <is>
          <t>0</t>
        </is>
      </c>
      <c r="F45" s="10" t="inlineStr"/>
      <c r="G45" s="10" t="inlineStr"/>
      <c r="H45" s="10" t="inlineStr"/>
      <c r="I45" s="10" t="inlineStr"/>
      <c r="J45" s="10" t="inlineStr">
        <is>
          <t>—</t>
        </is>
      </c>
      <c r="K45" s="10" t="inlineStr">
        <is>
          <t>—</t>
        </is>
      </c>
      <c r="L45" s="10" t="inlineStr">
        <is>
          <t>—</t>
        </is>
      </c>
      <c r="M45" s="10" t="inlineStr">
        <is>
          <t>—</t>
        </is>
      </c>
      <c r="N45" s="10" t="n">
        <v>0</v>
      </c>
      <c r="O45" s="10" t="inlineStr">
        <is>
          <t>không</t>
        </is>
      </c>
    </row>
    <row r="46">
      <c r="A46" s="10" t="inlineStr">
        <is>
          <t>Cận chiến</t>
        </is>
      </c>
      <c r="B46" s="10" t="inlineStr">
        <is>
          <t>大砍刀</t>
        </is>
      </c>
      <c r="C46" s="10" t="inlineStr">
        <is>
          <t>(không có mã trong app)</t>
        </is>
      </c>
      <c r="D46" s="10" t="inlineStr">
        <is>
          <t>108001</t>
        </is>
      </c>
      <c r="E46" s="10" t="inlineStr">
        <is>
          <t>0</t>
        </is>
      </c>
      <c r="F46" s="10" t="inlineStr"/>
      <c r="G46" s="10" t="inlineStr"/>
      <c r="H46" s="10" t="inlineStr"/>
      <c r="I46" s="10" t="inlineStr"/>
      <c r="J46" s="10" t="inlineStr">
        <is>
          <t>—</t>
        </is>
      </c>
      <c r="K46" s="10" t="inlineStr">
        <is>
          <t>—</t>
        </is>
      </c>
      <c r="L46" s="10" t="inlineStr">
        <is>
          <t>—</t>
        </is>
      </c>
      <c r="M46" s="10" t="inlineStr">
        <is>
          <t>—</t>
        </is>
      </c>
      <c r="N46" s="10" t="n">
        <v>0</v>
      </c>
      <c r="O46" s="10" t="inlineStr">
        <is>
          <t>không</t>
        </is>
      </c>
    </row>
    <row r="47">
      <c r="A47" s="10" t="inlineStr">
        <is>
          <t>Cận chiến</t>
        </is>
      </c>
      <c r="B47" s="10" t="inlineStr">
        <is>
          <t>平底锅</t>
        </is>
      </c>
      <c r="C47" s="10" t="inlineStr">
        <is>
          <t>(không có mã trong app)</t>
        </is>
      </c>
      <c r="D47" s="10" t="inlineStr">
        <is>
          <t>108004</t>
        </is>
      </c>
      <c r="E47" s="10" t="inlineStr">
        <is>
          <t>0</t>
        </is>
      </c>
      <c r="F47" s="10" t="inlineStr"/>
      <c r="G47" s="10" t="inlineStr"/>
      <c r="H47" s="10" t="inlineStr"/>
      <c r="I47" s="10" t="inlineStr"/>
      <c r="J47" s="10" t="inlineStr">
        <is>
          <t>—</t>
        </is>
      </c>
      <c r="K47" s="10" t="inlineStr">
        <is>
          <t>—</t>
        </is>
      </c>
      <c r="L47" s="10" t="inlineStr">
        <is>
          <t>—</t>
        </is>
      </c>
      <c r="M47" s="10" t="inlineStr">
        <is>
          <t>—</t>
        </is>
      </c>
      <c r="N47" s="10" t="n">
        <v>0</v>
      </c>
      <c r="O47" s="10" t="inlineStr">
        <is>
          <t>không</t>
        </is>
      </c>
    </row>
    <row r="48">
      <c r="A48" s="10" t="inlineStr">
        <is>
          <t>Cận chiến</t>
        </is>
      </c>
      <c r="B48" s="10" t="inlineStr">
        <is>
          <t>镰刀</t>
        </is>
      </c>
      <c r="C48" s="10" t="inlineStr">
        <is>
          <t>(không có mã trong app)</t>
        </is>
      </c>
      <c r="D48" s="10" t="inlineStr">
        <is>
          <t>108003</t>
        </is>
      </c>
      <c r="E48" s="10" t="inlineStr">
        <is>
          <t>0</t>
        </is>
      </c>
      <c r="F48" s="10" t="inlineStr"/>
      <c r="G48" s="10" t="inlineStr"/>
      <c r="H48" s="10" t="inlineStr"/>
      <c r="I48" s="10" t="inlineStr"/>
      <c r="J48" s="10" t="inlineStr">
        <is>
          <t>—</t>
        </is>
      </c>
      <c r="K48" s="10" t="inlineStr">
        <is>
          <t>—</t>
        </is>
      </c>
      <c r="L48" s="10" t="inlineStr">
        <is>
          <t>—</t>
        </is>
      </c>
      <c r="M48" s="10" t="inlineStr">
        <is>
          <t>—</t>
        </is>
      </c>
      <c r="N48" s="10" t="n">
        <v>0</v>
      </c>
      <c r="O48" s="10" t="inlineStr">
        <is>
          <t>không</t>
        </is>
      </c>
    </row>
    <row r="49">
      <c r="A49" s="10" t="inlineStr">
        <is>
          <t>Khác</t>
        </is>
      </c>
      <c r="B49" s="10" t="inlineStr">
        <is>
          <t>十字弩</t>
        </is>
      </c>
      <c r="C49" s="10" t="inlineStr">
        <is>
          <t>CrossBow</t>
        </is>
      </c>
      <c r="D49" s="10" t="inlineStr">
        <is>
          <t>107001</t>
        </is>
      </c>
      <c r="E49" s="10" t="inlineStr">
        <is>
          <t>弩箭</t>
        </is>
      </c>
      <c r="F49" s="10" t="inlineStr"/>
      <c r="G49" s="10" t="inlineStr"/>
      <c r="H49" s="10" t="inlineStr">
        <is>
          <t>6倍镜、4倍镜、3倍镜、2倍镜、全息瞄准镜、红点瞄准镜；</t>
        </is>
      </c>
      <c r="I49" s="10" t="inlineStr">
        <is>
          <t>箭袋</t>
        </is>
      </c>
      <c r="J49" s="10" t="inlineStr">
        <is>
          <t>—</t>
        </is>
      </c>
      <c r="K49" s="10" t="inlineStr">
        <is>
          <t>—</t>
        </is>
      </c>
      <c r="L49" s="10" t="inlineStr">
        <is>
          <t>—</t>
        </is>
      </c>
      <c r="M49" s="10" t="inlineStr">
        <is>
          <t>Túi tên (Quiver)</t>
        </is>
      </c>
      <c r="N49" s="10" t="n">
        <v>6</v>
      </c>
      <c r="O49" s="10" t="inlineStr">
        <is>
          <t>không</t>
        </is>
      </c>
    </row>
  </sheetData>
  <autoFilter ref="A4:O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9" customWidth="1" min="3" max="3"/>
    <col width="40" customWidth="1" min="4" max="4"/>
    <col width="44" customWidth="1" min="5" max="5"/>
    <col width="70" customWidth="1" min="6" max="6"/>
  </cols>
  <sheetData>
    <row r="1">
      <c r="A1" s="1" t="inlineStr">
        <is>
          <t>Danh sách phụ kiện chính thức và các súng áp dụng được (Tencent, trường "súng áp dụng")</t>
        </is>
      </c>
    </row>
    <row r="2">
      <c r="A2" s="2" t="inlineStr">
        <is>
          <t>Cột "Súng áp dụng" là nguyên văn danh sách của Tencent. Tay cầm Laser nằm trong nhóm tay cầm.</t>
        </is>
      </c>
    </row>
    <row r="4" ht="44" customHeight="1">
      <c r="A4" s="9" t="inlineStr">
        <is>
          <t>Nhóm</t>
        </is>
      </c>
      <c r="B4" s="9" t="inlineStr">
        <is>
          <t>Phụ kiện</t>
        </is>
      </c>
      <c r="C4" s="9" t="inlineStr">
        <is>
          <t>ID</t>
        </is>
      </c>
      <c r="D4" s="9" t="inlineStr">
        <is>
          <t>Tác dụng</t>
        </is>
      </c>
      <c r="E4" s="9" t="inlineStr">
        <is>
          <t>Chỉ số</t>
        </is>
      </c>
      <c r="F4" s="9" t="inlineStr">
        <is>
          <t>Súng áp dụng (nguyên văn)</t>
        </is>
      </c>
    </row>
    <row r="5">
      <c r="A5" s="10" t="inlineStr">
        <is>
          <t>握把</t>
        </is>
      </c>
      <c r="B5" s="10" t="inlineStr">
        <is>
          <t>直角前握把（自动步枪，冲锋枪，狙击枪）</t>
        </is>
      </c>
      <c r="C5" s="10" t="inlineStr">
        <is>
          <t>202001</t>
        </is>
      </c>
      <c r="D5" s="10" t="inlineStr">
        <is>
          <t>降低水平后坐力，同时提升瞄准速度。</t>
        </is>
      </c>
      <c r="E5" s="10" t="inlineStr">
        <is>
          <t>-20.00% 后坐力效果; -20.00% 平行方向后坐力; +10.00% 快速瞄准</t>
        </is>
      </c>
      <c r="F5" s="10" t="inlineStr">
        <is>
          <t>M416,SCAR-L,AUG,QBZ,M762,Mk47,G36C,SKS,UMP45</t>
        </is>
      </c>
    </row>
    <row r="6">
      <c r="A6" s="10" t="inlineStr">
        <is>
          <t>握把</t>
        </is>
      </c>
      <c r="B6" s="10" t="inlineStr">
        <is>
          <t>垂直握把（自动步枪，冲锋枪，狙击枪）</t>
        </is>
      </c>
      <c r="C6" s="10" t="inlineStr">
        <is>
          <t>202002</t>
        </is>
      </c>
      <c r="D6" s="10" t="inlineStr">
        <is>
          <t>增加枪械稳定性，降低垂直后坐力。</t>
        </is>
      </c>
      <c r="E6" s="10" t="inlineStr">
        <is>
          <t>-20.00% 后坐力效果; -15.00% 垂直方向后坐力</t>
        </is>
      </c>
      <c r="F6" s="10" t="inlineStr">
        <is>
          <t>M416,SCAR-L,AUG,QBZ,M762,Mk47,G36C,SKS,UMP45,Vector,汤姆逊冲锋枪</t>
        </is>
      </c>
    </row>
    <row r="7">
      <c r="A7" s="10" t="inlineStr">
        <is>
          <t>握把</t>
        </is>
      </c>
      <c r="B7" s="10" t="inlineStr">
        <is>
          <t>拇指握把（步枪，冲锋枪，狙击枪）</t>
        </is>
      </c>
      <c r="C7" s="10" t="inlineStr">
        <is>
          <t>202006</t>
        </is>
      </c>
      <c r="D7" s="10" t="inlineStr">
        <is>
          <t>提升瞄准速度，降低垂直后坐力，小幅提升枪械稳定性。</t>
        </is>
      </c>
      <c r="E7" s="10" t="inlineStr">
        <is>
          <t>-5.00%垂直方向后坐力 -5.00%画面抖动</t>
        </is>
      </c>
      <c r="F7" s="10" t="inlineStr">
        <is>
          <t>M416,SCAR-L,AUG,QBZ,M762,Mk47,G36C,SKS,UMP45</t>
        </is>
      </c>
    </row>
    <row r="8">
      <c r="A8" s="10" t="inlineStr">
        <is>
          <t>握把</t>
        </is>
      </c>
      <c r="B8" s="10" t="inlineStr">
        <is>
          <t>半截式握把（自动步枪，手枪，冲锋枪，狙击枪）</t>
        </is>
      </c>
      <c r="C8" s="10" t="inlineStr">
        <is>
          <t>202005</t>
        </is>
      </c>
      <c r="D8" s="10" t="inlineStr">
        <is>
          <t>降低枪械后坐力，降低枪械稳定性。</t>
        </is>
      </c>
      <c r="E8" s="10" t="inlineStr">
        <is>
          <t>-8.00%垂直方向后坐力 -10.00%水平方向后坐力 -15.00%画面抖动</t>
        </is>
      </c>
      <c r="F8" s="10" t="inlineStr">
        <is>
          <t>M416,SCAR-L,AUG,QBZ,M762,Mk47,G36C,SKS,UMP45,Vector</t>
        </is>
      </c>
    </row>
    <row r="9">
      <c r="A9" s="10" t="inlineStr">
        <is>
          <t>握把</t>
        </is>
      </c>
      <c r="B9" s="10" t="inlineStr">
        <is>
          <t>轻型握把（自动步枪，手枪，冲锋枪，狙击枪）</t>
        </is>
      </c>
      <c r="C9" s="10" t="inlineStr">
        <is>
          <t>202004</t>
        </is>
      </c>
      <c r="D9" s="10" t="inlineStr">
        <is>
          <t>增加枪械稳定性，降低后坐力。</t>
        </is>
      </c>
      <c r="E9" s="10" t="inlineStr">
        <is>
          <t>-30.00%画面抖动</t>
        </is>
      </c>
      <c r="F9" s="10" t="inlineStr">
        <is>
          <t>M416,SCAR-L,AUG,QBZ,M762,Mk47,G36C,SKS,UMP45,Vector</t>
        </is>
      </c>
    </row>
    <row r="10">
      <c r="A10" s="10" t="inlineStr">
        <is>
          <t>握把</t>
        </is>
      </c>
      <c r="B10" s="10" t="inlineStr">
        <is>
          <t>激光瞄准器（自动步枪，手枪，冲锋枪）</t>
        </is>
      </c>
      <c r="C10" s="10" t="inlineStr">
        <is>
          <t>202007</t>
        </is>
      </c>
      <c r="D10" s="10" t="inlineStr">
        <is>
          <t>降低腰射时的子弹散布</t>
        </is>
      </c>
      <c r="E10" s="10" t="inlineStr">
        <is>
          <t>无</t>
        </is>
      </c>
      <c r="F10" s="10" t="inlineStr">
        <is>
          <t>M416,SCAR-L,AUG,QBZ,M762,Mk47,G36C,SKS,UMP45,Vector,P92,P1911,P18C,蝎式手枪,R45</t>
        </is>
      </c>
    </row>
    <row r="11">
      <c r="A11" s="10" t="inlineStr">
        <is>
          <t>枪口</t>
        </is>
      </c>
      <c r="B11" s="10" t="inlineStr">
        <is>
          <t>霰弹枪收束器（霰弹枪，霰弹手枪）</t>
        </is>
      </c>
      <c r="C11" s="10" t="inlineStr">
        <is>
          <t>201001</t>
        </is>
      </c>
      <c r="D11" s="10" t="inlineStr">
        <is>
          <t>降低霰弹枪子弹的扩散，使弹着点集中。</t>
        </is>
      </c>
      <c r="E11" s="10" t="inlineStr">
        <is>
          <t>-18.20% 弹丸散射; +15.40% 弹丸速度</t>
        </is>
      </c>
      <c r="F11" s="10" t="inlineStr">
        <is>
          <t>S1897,S686,短管霰弹枪</t>
        </is>
      </c>
    </row>
    <row r="12">
      <c r="A12" s="10" t="inlineStr">
        <is>
          <t>枪口</t>
        </is>
      </c>
      <c r="B12" s="10" t="inlineStr">
        <is>
          <t>枪口补偿器（冲锋枪）</t>
        </is>
      </c>
      <c r="C12" s="10" t="inlineStr">
        <is>
          <t>201002</t>
        </is>
      </c>
      <c r="D12" s="10" t="inlineStr">
        <is>
          <t>增强枪械稳定性，降低水平及垂直后坐力。</t>
        </is>
      </c>
      <c r="E12" s="10" t="inlineStr">
        <is>
          <t>-25.00% 后坐力效果； -20.00% 平行方向后坐力； -25.00% 垂直方向后坐力</t>
        </is>
      </c>
      <c r="F12" s="10" t="inlineStr">
        <is>
          <t>UZI,UMP45,Vector,野牛冲锋枪</t>
        </is>
      </c>
    </row>
    <row r="13">
      <c r="A13" s="10" t="inlineStr">
        <is>
          <t>枪口</t>
        </is>
      </c>
      <c r="B13" s="10" t="inlineStr">
        <is>
          <t>枪口补偿器（狙击枪）</t>
        </is>
      </c>
      <c r="C13" s="10" t="inlineStr">
        <is>
          <t>201003</t>
        </is>
      </c>
      <c r="D13" s="10" t="inlineStr">
        <is>
          <t>增强枪械稳定性，降低水平及垂直后坐力。</t>
        </is>
      </c>
      <c r="E13" s="10" t="inlineStr">
        <is>
          <t>-25.00% 后坐力效果; -20.00% 平行方向后坐力; -20.00% 垂直方向后坐力</t>
        </is>
      </c>
      <c r="F13" s="10" t="inlineStr">
        <is>
          <t>M24,AWM,SKS,Kar98K,Mk14,MiNi14,SLR,QBU</t>
        </is>
      </c>
    </row>
    <row r="14">
      <c r="A14" s="10" t="inlineStr">
        <is>
          <t>枪口</t>
        </is>
      </c>
      <c r="B14" s="10" t="inlineStr">
        <is>
          <t>消焰器（冲锋枪）</t>
        </is>
      </c>
      <c r="C14" s="10" t="inlineStr">
        <is>
          <t>201004</t>
        </is>
      </c>
      <c r="D14" s="10" t="inlineStr">
        <is>
          <t>消除开火时枪口的火光，小幅降低水平及垂直后坐力。</t>
        </is>
      </c>
      <c r="E14" s="10" t="inlineStr">
        <is>
          <t>-10.00% 后坐力效果; -10.00% 平行方向后坐力; -10.00% 垂直方向后坐力</t>
        </is>
      </c>
      <c r="F14" s="10" t="inlineStr">
        <is>
          <t>UZI,UMP45,Vector,野牛冲锋枪</t>
        </is>
      </c>
    </row>
    <row r="15">
      <c r="A15" s="10" t="inlineStr">
        <is>
          <t>枪口</t>
        </is>
      </c>
      <c r="B15" s="10" t="inlineStr">
        <is>
          <t>消焰器（狙击枪）</t>
        </is>
      </c>
      <c r="C15" s="10" t="inlineStr">
        <is>
          <t>201005</t>
        </is>
      </c>
      <c r="D15" s="10" t="inlineStr">
        <is>
          <t>消除开火时枪口的火光，小幅降低水平及垂直后坐力。</t>
        </is>
      </c>
      <c r="E15" s="10" t="inlineStr">
        <is>
          <t>-10.00% 后坐力效果; -10.00% 平行方向后坐力; -10.00% 垂直方向后坐力</t>
        </is>
      </c>
      <c r="F15" s="10" t="inlineStr">
        <is>
          <t>M24,AWM,SKS,Kar98K,Mk14,Mini14,SLR,QBU</t>
        </is>
      </c>
    </row>
    <row r="16">
      <c r="A16" s="10" t="inlineStr">
        <is>
          <t>枪口</t>
        </is>
      </c>
      <c r="B16" s="10" t="inlineStr">
        <is>
          <t>消音器（冲锋枪）</t>
        </is>
      </c>
      <c r="C16" s="10" t="inlineStr">
        <is>
          <t>201006</t>
        </is>
      </c>
      <c r="D16" s="10" t="inlineStr">
        <is>
          <t>降低了武器开火时的声音，提升了隐蔽性。</t>
        </is>
      </c>
      <c r="E16" s="10" t="inlineStr">
        <is>
          <t>-5.00% 后坐力效果</t>
        </is>
      </c>
      <c r="F16" s="10" t="inlineStr">
        <is>
          <t>所有冲锋枪</t>
        </is>
      </c>
    </row>
    <row r="17">
      <c r="A17" s="10" t="inlineStr">
        <is>
          <t>枪口</t>
        </is>
      </c>
      <c r="B17" s="10" t="inlineStr">
        <is>
          <t>消音器（狙击枪）</t>
        </is>
      </c>
      <c r="C17" s="10" t="inlineStr">
        <is>
          <t>201007</t>
        </is>
      </c>
      <c r="D17" s="10" t="inlineStr">
        <is>
          <t>降低了武器开火时的声音，提升了隐蔽性。</t>
        </is>
      </c>
      <c r="E17" s="10" t="inlineStr">
        <is>
          <t>-5.00% 后坐力效果</t>
        </is>
      </c>
      <c r="F17" s="10" t="inlineStr">
        <is>
          <t>M24,AWM,SKS,Kar98K,Mk14,Mini14,SLR,QBU</t>
        </is>
      </c>
    </row>
    <row r="18">
      <c r="A18" s="10" t="inlineStr">
        <is>
          <t>枪口</t>
        </is>
      </c>
      <c r="B18" s="10" t="inlineStr">
        <is>
          <t>消音器（手枪）</t>
        </is>
      </c>
      <c r="C18" s="10" t="inlineStr">
        <is>
          <t>201008</t>
        </is>
      </c>
      <c r="D18" s="10" t="inlineStr">
        <is>
          <t>降低了武器开火时的声音，提升了隐蔽性。</t>
        </is>
      </c>
      <c r="E18" s="10" t="inlineStr">
        <is>
          <t>-5.00% 后坐力效果</t>
        </is>
      </c>
      <c r="F18" s="10" t="inlineStr">
        <is>
          <t>P92,P1911,R1895,P18C,蝎式手枪</t>
        </is>
      </c>
    </row>
    <row r="19">
      <c r="A19" s="10" t="inlineStr">
        <is>
          <t>枪口</t>
        </is>
      </c>
      <c r="B19" s="10" t="inlineStr">
        <is>
          <t>枪口补偿器（自动步枪,S12K）</t>
        </is>
      </c>
      <c r="C19" s="10" t="inlineStr">
        <is>
          <t>201009</t>
        </is>
      </c>
      <c r="D19" s="10" t="inlineStr">
        <is>
          <t>增强枪械稳定性，降低水平及垂直后坐力。</t>
        </is>
      </c>
      <c r="E19" s="10" t="inlineStr">
        <is>
          <t>-25.00%后坐力效果; -10.00% 平行方向后坐力; -15.00% 垂直方向后坐力</t>
        </is>
      </c>
      <c r="F19" s="10" t="inlineStr">
        <is>
          <t>M416,AKM,M16A4,SCAR-L,AUG,QBZ,M762,Mk47,G36C,SKS,Mini14,Mk14,SLR,QBU,S12K</t>
        </is>
      </c>
    </row>
    <row r="20">
      <c r="A20" s="10" t="inlineStr">
        <is>
          <t>枪口</t>
        </is>
      </c>
      <c r="B20" s="10" t="inlineStr">
        <is>
          <t>消焰器（自动步枪，S12K）</t>
        </is>
      </c>
      <c r="C20" s="10" t="inlineStr">
        <is>
          <t>201010</t>
        </is>
      </c>
      <c r="D20" s="10" t="inlineStr">
        <is>
          <t>消除开火时枪口的火光，小幅降低水平及垂直后坐力。</t>
        </is>
      </c>
      <c r="E20" s="10" t="inlineStr">
        <is>
          <t>-10.00% 后坐力效果; -10.00% 平行方向后坐力; -10.00% 垂直方向后坐力</t>
        </is>
      </c>
      <c r="F20" s="10" t="inlineStr">
        <is>
          <t>AKM,M16A4,M416,SCAR-L,S12K,SKS,Mk14,Mini14,AUG,SLR,QBZ,QBU,M762,Mk47,G36C</t>
        </is>
      </c>
    </row>
    <row r="21">
      <c r="A21" s="10" t="inlineStr">
        <is>
          <t>枪口</t>
        </is>
      </c>
      <c r="B21" s="10" t="inlineStr">
        <is>
          <t>消音器（自动步枪，S12K）</t>
        </is>
      </c>
      <c r="C21" s="10" t="inlineStr">
        <is>
          <t>201011</t>
        </is>
      </c>
      <c r="D21" s="10" t="inlineStr">
        <is>
          <t>降低了武器开火时的声音，提升了隐蔽性。</t>
        </is>
      </c>
      <c r="E21" s="10" t="inlineStr">
        <is>
          <t>-5.00% 后坐力效果</t>
        </is>
      </c>
      <c r="F21" s="10" t="inlineStr">
        <is>
          <t>AKM,M16A4,M416,SCAR-L,S12K,SKS,GROZA,Mk14,Mini14,AUG,SLR,QBZ,QBU,M762,Mk47,G36C</t>
        </is>
      </c>
    </row>
    <row r="22">
      <c r="A22" s="10" t="inlineStr">
        <is>
          <t>枪口</t>
        </is>
      </c>
      <c r="B22" s="10" t="inlineStr">
        <is>
          <t>鸭嘴枪口</t>
        </is>
      </c>
      <c r="C22" s="10" t="inlineStr">
        <is>
          <t>201012</t>
        </is>
      </c>
      <c r="D22" s="10" t="inlineStr">
        <is>
          <t>降低枪械子弹的垂直散布，增加水平散布。</t>
        </is>
      </c>
      <c r="E22" s="10" t="inlineStr"/>
      <c r="F22" s="10" t="inlineStr">
        <is>
          <t>S1897,S12K</t>
        </is>
      </c>
    </row>
    <row r="23">
      <c r="A23" s="10" t="inlineStr">
        <is>
          <t>弹匣</t>
        </is>
      </c>
      <c r="B23" s="10" t="inlineStr">
        <is>
          <t>扩容弹匣（手枪）</t>
        </is>
      </c>
      <c r="C23" s="10" t="inlineStr">
        <is>
          <t>204001</t>
        </is>
      </c>
      <c r="D23" s="10" t="inlineStr">
        <is>
          <t>增加了弹匣容量</t>
        </is>
      </c>
      <c r="E23" s="10" t="inlineStr">
        <is>
          <t>增加弹匣容量</t>
        </is>
      </c>
      <c r="F23" s="10" t="inlineStr">
        <is>
          <t>P92,P1911,P18C,蝎式手枪</t>
        </is>
      </c>
    </row>
    <row r="24">
      <c r="A24" s="10" t="inlineStr">
        <is>
          <t>弹匣</t>
        </is>
      </c>
      <c r="B24" s="10" t="inlineStr">
        <is>
          <t>快速弹匣（手枪）</t>
        </is>
      </c>
      <c r="C24" s="10" t="inlineStr">
        <is>
          <t>204002</t>
        </is>
      </c>
      <c r="D24" s="10" t="inlineStr">
        <is>
          <t>加快换弹速度</t>
        </is>
      </c>
      <c r="E24" s="10" t="inlineStr">
        <is>
          <t>-30.00%装填时间</t>
        </is>
      </c>
      <c r="F24" s="10" t="inlineStr">
        <is>
          <t>P92,P1911,P18C</t>
        </is>
      </c>
    </row>
    <row r="25">
      <c r="A25" s="10" t="inlineStr">
        <is>
          <t>弹匣</t>
        </is>
      </c>
      <c r="B25" s="10" t="inlineStr">
        <is>
          <t>快速扩容弹匣（手枪）</t>
        </is>
      </c>
      <c r="C25" s="10" t="inlineStr">
        <is>
          <t>204003</t>
        </is>
      </c>
      <c r="D25" s="10" t="inlineStr">
        <is>
          <t>加快装弹速度提升弹匣容量</t>
        </is>
      </c>
      <c r="E25" s="10" t="inlineStr">
        <is>
          <t>-30.00%装填时间; 增加弹匣容量</t>
        </is>
      </c>
      <c r="F25" s="10" t="inlineStr">
        <is>
          <t>P92,P1911,P18C</t>
        </is>
      </c>
    </row>
    <row r="26">
      <c r="A26" s="10" t="inlineStr">
        <is>
          <t>弹匣</t>
        </is>
      </c>
      <c r="B26" s="10" t="inlineStr">
        <is>
          <t>扩容弹匣（冲锋枪）</t>
        </is>
      </c>
      <c r="C26" s="10" t="inlineStr">
        <is>
          <t>204004</t>
        </is>
      </c>
      <c r="D26" s="10" t="inlineStr">
        <is>
          <t>增加了弹匣容量</t>
        </is>
      </c>
      <c r="E26" s="10" t="inlineStr">
        <is>
          <t>增加弹匣容量</t>
        </is>
      </c>
      <c r="F26" s="10" t="inlineStr">
        <is>
          <t>UZI,UMP45,Vector,汤姆逊冲锋枪</t>
        </is>
      </c>
    </row>
    <row r="27">
      <c r="A27" s="10" t="inlineStr">
        <is>
          <t>弹匣</t>
        </is>
      </c>
      <c r="B27" s="10" t="inlineStr">
        <is>
          <t>快速弹匣（冲锋枪）</t>
        </is>
      </c>
      <c r="C27" s="10" t="inlineStr">
        <is>
          <t>204005</t>
        </is>
      </c>
      <c r="D27" s="10" t="inlineStr">
        <is>
          <t>加快换弹速度</t>
        </is>
      </c>
      <c r="E27" s="10" t="inlineStr">
        <is>
          <t>-30.00%装填时间</t>
        </is>
      </c>
      <c r="F27" s="10" t="inlineStr">
        <is>
          <t>UZI,UMP45,Vector,汤姆逊冲锋枪</t>
        </is>
      </c>
    </row>
    <row r="28">
      <c r="A28" s="10" t="inlineStr">
        <is>
          <t>弹匣</t>
        </is>
      </c>
      <c r="B28" s="10" t="inlineStr">
        <is>
          <t>快速扩容弹匣（冲锋枪）</t>
        </is>
      </c>
      <c r="C28" s="10" t="inlineStr">
        <is>
          <t>204006</t>
        </is>
      </c>
      <c r="D28" s="10" t="inlineStr">
        <is>
          <t>加快装弹速度提升弹夹容量</t>
        </is>
      </c>
      <c r="E28" s="10" t="inlineStr">
        <is>
          <t>-30.00%装填时间; 增加弹匣容量</t>
        </is>
      </c>
      <c r="F28" s="10" t="inlineStr">
        <is>
          <t>UZI,UMP45,Vector,汤姆逊冲锋枪</t>
        </is>
      </c>
    </row>
    <row r="29">
      <c r="A29" s="10" t="inlineStr">
        <is>
          <t>弹匣</t>
        </is>
      </c>
      <c r="B29" s="10" t="inlineStr">
        <is>
          <t>扩容弹匣（狙击枪）</t>
        </is>
      </c>
      <c r="C29" s="10" t="inlineStr">
        <is>
          <t>204007</t>
        </is>
      </c>
      <c r="D29" s="10" t="inlineStr">
        <is>
          <t>增加了弹匣容量</t>
        </is>
      </c>
      <c r="E29" s="10" t="inlineStr">
        <is>
          <t>增加弹匣容量</t>
        </is>
      </c>
      <c r="F29" s="10" t="inlineStr">
        <is>
          <t>M24,AWM,SKS,Mk14,Mini14,SLR,QBU,VSS</t>
        </is>
      </c>
    </row>
    <row r="30">
      <c r="A30" s="10" t="inlineStr">
        <is>
          <t>弹匣</t>
        </is>
      </c>
      <c r="B30" s="10" t="inlineStr">
        <is>
          <t>快速弹匣（狙击枪）</t>
        </is>
      </c>
      <c r="C30" s="10" t="inlineStr">
        <is>
          <t>204008</t>
        </is>
      </c>
      <c r="D30" s="10" t="inlineStr">
        <is>
          <t>加快换弹速度</t>
        </is>
      </c>
      <c r="E30" s="10" t="inlineStr">
        <is>
          <t>-30.00%装填时间</t>
        </is>
      </c>
      <c r="F30" s="10" t="inlineStr">
        <is>
          <t>M24,AWM,SKS,VSS,Mk14,Mini14,QBU,SLR</t>
        </is>
      </c>
    </row>
    <row r="31">
      <c r="A31" s="10" t="inlineStr">
        <is>
          <t>弹匣</t>
        </is>
      </c>
      <c r="B31" s="10" t="inlineStr">
        <is>
          <t>快速扩容弹匣（狙击枪)</t>
        </is>
      </c>
      <c r="C31" s="10" t="inlineStr">
        <is>
          <t>204009</t>
        </is>
      </c>
      <c r="D31" s="10" t="inlineStr">
        <is>
          <t>加快装弹速度提升弹夹容量</t>
        </is>
      </c>
      <c r="E31" s="10" t="inlineStr">
        <is>
          <t>-30.00%装填时间; 增加弹匣容量</t>
        </is>
      </c>
      <c r="F31" s="10" t="inlineStr">
        <is>
          <t>M24,AWM,SKS,VSS,Mk14,Mini14,SLR,QBU</t>
        </is>
      </c>
    </row>
    <row r="32">
      <c r="A32" s="10" t="inlineStr">
        <is>
          <t>弹匣</t>
        </is>
      </c>
      <c r="B32" s="10" t="inlineStr">
        <is>
          <t>子弹袋（霰弹枪）</t>
        </is>
      </c>
      <c r="C32" s="10" t="inlineStr">
        <is>
          <t>204010</t>
        </is>
      </c>
      <c r="D32" s="10" t="inlineStr">
        <is>
          <t>加快换弹速度</t>
        </is>
      </c>
      <c r="E32" s="10" t="inlineStr">
        <is>
          <t>-30.00%装填时间</t>
        </is>
      </c>
      <c r="F32" s="10" t="inlineStr">
        <is>
          <t>S1897,S686</t>
        </is>
      </c>
    </row>
    <row r="33">
      <c r="A33" s="10" t="inlineStr">
        <is>
          <t>弹匣</t>
        </is>
      </c>
      <c r="B33" s="10" t="inlineStr">
        <is>
          <t>扩容弹匣（自动步枪，S12K）</t>
        </is>
      </c>
      <c r="C33" s="10" t="inlineStr">
        <is>
          <t>204011</t>
        </is>
      </c>
      <c r="D33" s="10" t="inlineStr">
        <is>
          <t>增加了弹匣容量</t>
        </is>
      </c>
      <c r="E33" s="10" t="inlineStr">
        <is>
          <t>增加弹匣容量</t>
        </is>
      </c>
      <c r="F33" s="10" t="inlineStr">
        <is>
          <t>AKM,M16A4,M416,SCAR-L,AUG,GROZA,S12K,QBZ,M762,Mk47,G36C,SKS,Mk14,Mini14,VSS,SLR,QBU</t>
        </is>
      </c>
    </row>
    <row r="34">
      <c r="A34" s="10" t="inlineStr">
        <is>
          <t>弹匣</t>
        </is>
      </c>
      <c r="B34" s="10" t="inlineStr">
        <is>
          <t>快速弹匣（自动步枪，S12K）</t>
        </is>
      </c>
      <c r="C34" s="10" t="inlineStr">
        <is>
          <t>204012</t>
        </is>
      </c>
      <c r="D34" s="10" t="inlineStr">
        <is>
          <t>加快换弹速度</t>
        </is>
      </c>
      <c r="E34" s="10" t="inlineStr">
        <is>
          <t>-30.00%装填时间</t>
        </is>
      </c>
      <c r="F34" s="10" t="inlineStr">
        <is>
          <t>AKM,M16A4,M416,SCAR-L,AUG,GROZA,S12K,QBZ,M762,Mk47,G36C,SKS,Mk14,Mini14,VSS,SLR,QBU</t>
        </is>
      </c>
    </row>
    <row r="35">
      <c r="A35" s="10" t="inlineStr">
        <is>
          <t>弹匣</t>
        </is>
      </c>
      <c r="B35" s="10" t="inlineStr">
        <is>
          <t>快速扩容弹匣（自动步枪，S12K）</t>
        </is>
      </c>
      <c r="C35" s="10" t="inlineStr">
        <is>
          <t>204013</t>
        </is>
      </c>
      <c r="D35" s="10" t="inlineStr">
        <is>
          <t>加快装弹速度提升弹夹容量</t>
        </is>
      </c>
      <c r="E35" s="10" t="inlineStr">
        <is>
          <t>-30.00%装填时间; 增加弹匣容量</t>
        </is>
      </c>
      <c r="F35" s="10" t="inlineStr">
        <is>
          <t>AKM,M16A4,M416,SCAR-L,AUG,GROZA,S12K,QBZ,M762,Mk47,G36C,SKS,Mk14,Mini14,VSS,SLR,QBU</t>
        </is>
      </c>
    </row>
    <row r="36">
      <c r="A36" s="10" t="inlineStr">
        <is>
          <t>弹匣</t>
        </is>
      </c>
      <c r="B36" s="10" t="inlineStr">
        <is>
          <t>子弹袋（Kar98K，Win94）</t>
        </is>
      </c>
      <c r="C36" s="10" t="inlineStr">
        <is>
          <t>204014</t>
        </is>
      </c>
      <c r="D36" s="10" t="inlineStr">
        <is>
          <t>加快换弹速度</t>
        </is>
      </c>
      <c r="E36" s="10" t="inlineStr">
        <is>
          <t>-50.00%基础散射度; -30.00%装填时间</t>
        </is>
      </c>
      <c r="F36" s="10" t="inlineStr">
        <is>
          <t>Kar98,Win94</t>
        </is>
      </c>
    </row>
    <row r="37">
      <c r="A37" s="10" t="inlineStr">
        <is>
          <t>弹匣</t>
        </is>
      </c>
      <c r="B37" s="10" t="inlineStr">
        <is>
          <t>箭袋（十字弩）</t>
        </is>
      </c>
      <c r="C37" s="10" t="inlineStr">
        <is>
          <t>205004</t>
        </is>
      </c>
      <c r="D37" s="10" t="inlineStr">
        <is>
          <t>加快装箭速度</t>
        </is>
      </c>
      <c r="E37" s="10" t="inlineStr">
        <is>
          <t>-30.00%装填时间</t>
        </is>
      </c>
      <c r="F37" s="10" t="inlineStr">
        <is>
          <t>十字弩</t>
        </is>
      </c>
    </row>
    <row r="38">
      <c r="A38" s="10" t="inlineStr">
        <is>
          <t>枪托</t>
        </is>
      </c>
      <c r="B38" s="10" t="inlineStr">
        <is>
          <t>枪托（UZI,蝎式手枪）</t>
        </is>
      </c>
      <c r="C38" s="10" t="inlineStr">
        <is>
          <t>205001</t>
        </is>
      </c>
      <c r="D38" s="10" t="inlineStr">
        <is>
          <t>增加枪械稳定性，降低后坐力。</t>
        </is>
      </c>
      <c r="E38" s="10" t="inlineStr">
        <is>
          <t>-20.00%后坐力效果; -20.00%垂直方向后坐力; +15.00%后坐力消退</t>
        </is>
      </c>
      <c r="F38" s="10" t="inlineStr">
        <is>
          <t>UZI</t>
        </is>
      </c>
    </row>
    <row r="39">
      <c r="A39" s="10" t="inlineStr">
        <is>
          <t>枪托</t>
        </is>
      </c>
      <c r="B39" s="10" t="inlineStr">
        <is>
          <t>战术枪托（M416,Vector）</t>
        </is>
      </c>
      <c r="C39" s="10" t="inlineStr">
        <is>
          <t>205002</t>
        </is>
      </c>
      <c r="D39" s="10" t="inlineStr">
        <is>
          <t>增加枪械稳定性，降低后坐力。</t>
        </is>
      </c>
      <c r="E39" s="10" t="inlineStr">
        <is>
          <t>-20.00%后坐力效果; +15.00%后坐力消退; -10.00%画面抖动</t>
        </is>
      </c>
      <c r="F39" s="10" t="inlineStr">
        <is>
          <t>M416,Vector</t>
        </is>
      </c>
    </row>
    <row r="40">
      <c r="A40" s="10" t="inlineStr">
        <is>
          <t>枪托</t>
        </is>
      </c>
      <c r="B40" s="10" t="inlineStr">
        <is>
          <t>托腮板（狙击步枪）</t>
        </is>
      </c>
      <c r="C40" s="10" t="inlineStr">
        <is>
          <t>205003</t>
        </is>
      </c>
      <c r="D40" s="10" t="inlineStr">
        <is>
          <t>降低后坐力及晃动幅度。</t>
        </is>
      </c>
      <c r="E40" s="10" t="inlineStr">
        <is>
          <t>-20.00%垂直方向后坐力; -20.00%画面抖动; -15.00%摇晃</t>
        </is>
      </c>
      <c r="F40" s="10" t="inlineStr">
        <is>
          <t>M24,AWM,SKS,Kar98K,Mk14,VSS,SLR</t>
        </is>
      </c>
    </row>
    <row r="41">
      <c r="A41" s="10" t="inlineStr">
        <is>
          <t>瞄准镜</t>
        </is>
      </c>
      <c r="B41" s="10" t="inlineStr">
        <is>
          <t>全息瞄准镜</t>
        </is>
      </c>
      <c r="C41" s="10" t="inlineStr">
        <is>
          <t>203002</t>
        </is>
      </c>
      <c r="D41" s="10" t="inlineStr">
        <is>
          <t>武器瞄准配件</t>
        </is>
      </c>
      <c r="E41" s="10" t="inlineStr">
        <is>
          <t>+20.00%快速瞄准</t>
        </is>
      </c>
      <c r="F41" s="10" t="inlineStr">
        <is>
          <t>M416,AKM,M16A4,SCAR-L,GROZA,AUG,QBZ,M762,Mk47,G36C,Kar98K,M24,AWM,SKS,Mini14,Mk14,SLR,QBU,UMP45,Vector,野牛冲锋枪,S12K,十字弩</t>
        </is>
      </c>
    </row>
    <row r="42">
      <c r="A42" s="10" t="inlineStr">
        <is>
          <t>瞄准镜</t>
        </is>
      </c>
      <c r="B42" s="10" t="inlineStr">
        <is>
          <t>2倍 瞄准镜</t>
        </is>
      </c>
      <c r="C42" s="10" t="inlineStr">
        <is>
          <t>203003</t>
        </is>
      </c>
      <c r="D42" s="10" t="inlineStr">
        <is>
          <t>2倍武器瞄准镜</t>
        </is>
      </c>
      <c r="E42" s="10" t="inlineStr">
        <is>
          <t>1.80X放大倍数; +10.00%快速瞄准</t>
        </is>
      </c>
      <c r="F42" s="10" t="inlineStr">
        <is>
          <t>M416,AKM,M16A4,SCAR-L,GROZA,AUG,QBZ,M762,Mk47,G36C,Kar98k,M24,AWM,SKS,Mini14,Mk14,SLR,QBU,UMP45,Vector,野牛冲锋枪,S12K,M249,DP-28,十字弩</t>
        </is>
      </c>
    </row>
    <row r="43">
      <c r="A43" s="10" t="inlineStr">
        <is>
          <t>瞄准镜</t>
        </is>
      </c>
      <c r="B43" s="10" t="inlineStr">
        <is>
          <t>4倍 瞄准镜</t>
        </is>
      </c>
      <c r="C43" s="10" t="inlineStr">
        <is>
          <t>203004</t>
        </is>
      </c>
      <c r="D43" s="10" t="inlineStr">
        <is>
          <t>4倍先进战斗光学瞄准镜</t>
        </is>
      </c>
      <c r="E43" s="10" t="inlineStr">
        <is>
          <t>4.00X放大倍数</t>
        </is>
      </c>
      <c r="F43" s="10" t="inlineStr">
        <is>
          <t>M416,AKM,M16A4,SCAR-L,GROZA,AUG,QBZ,M762,Mk47,G36C,Kar98k,M24,AWM,SKS,Mini14,Mk14,SLR,QBU,UMP45,Vector,野牛冲锋枪,S12K,M249,DP-28,十字弩</t>
        </is>
      </c>
    </row>
    <row r="44">
      <c r="A44" s="10" t="inlineStr">
        <is>
          <t>瞄准镜</t>
        </is>
      </c>
      <c r="B44" s="10" t="inlineStr">
        <is>
          <t>8倍 瞄准镜</t>
        </is>
      </c>
      <c r="C44" s="10" t="inlineStr">
        <is>
          <t>203005</t>
        </is>
      </c>
      <c r="D44" s="10" t="inlineStr">
        <is>
          <t>8倍远距精确射击瞄准镜</t>
        </is>
      </c>
      <c r="E44" s="10" t="inlineStr">
        <is>
          <t>7.25X放大倍数</t>
        </is>
      </c>
      <c r="F44" s="10" t="inlineStr">
        <is>
          <t>QBU,SKS,Kar98k,M24,MK14,AWM,Mini14,SLR</t>
        </is>
      </c>
    </row>
    <row r="45">
      <c r="A45" s="10" t="inlineStr">
        <is>
          <t>瞄准镜</t>
        </is>
      </c>
      <c r="B45" s="10" t="inlineStr">
        <is>
          <t>6倍 瞄准镜</t>
        </is>
      </c>
      <c r="C45" s="10" t="inlineStr">
        <is>
          <t>203015</t>
        </is>
      </c>
      <c r="D45" s="10" t="inlineStr">
        <is>
          <t>6倍先进战斗光学瞄准镜</t>
        </is>
      </c>
      <c r="E45" s="10" t="inlineStr">
        <is>
          <t>可调节为3倍至6倍</t>
        </is>
      </c>
      <c r="F45" s="10" t="inlineStr">
        <is>
          <t>M416,AKM,M16A4,SCAR-L,GROZA,AUG,QBZ,M762,Mk47,G36C,Kar98k,M24,AWM,SKS,Mini14,Mk14,SLR,QBU,UMP45,Vector,野牛冲锋枪,S12K,M249,DP-28,十字弩</t>
        </is>
      </c>
    </row>
    <row r="46">
      <c r="A46" s="10" t="inlineStr">
        <is>
          <t>瞄准镜</t>
        </is>
      </c>
      <c r="B46" s="10" t="inlineStr">
        <is>
          <t>红点瞄准镜</t>
        </is>
      </c>
      <c r="C46" s="10" t="inlineStr">
        <is>
          <t>203001</t>
        </is>
      </c>
      <c r="D46" s="10" t="inlineStr">
        <is>
          <t>武器瞄准配件</t>
        </is>
      </c>
      <c r="E46" s="10" t="inlineStr">
        <is>
          <t>+20.00%快速瞄准</t>
        </is>
      </c>
      <c r="F46" s="10" t="inlineStr">
        <is>
          <t>M416,AKM,M16A4,SCAR-L,GROZA,AUG,QBZ,M762,Mk47,G36C,Kar98K,M24,AWM,SKS,Mini14,Mk14,SLR,QBU,UMP45,Vector,野牛冲锋枪,S12K,M249,DP-28,P92,P1911,P18C,蝎式手枪,R45,十字弩</t>
        </is>
      </c>
    </row>
    <row r="47">
      <c r="A47" s="10" t="inlineStr">
        <is>
          <t>瞄准镜</t>
        </is>
      </c>
      <c r="B47" s="10" t="inlineStr">
        <is>
          <t>3倍瞄准镜</t>
        </is>
      </c>
      <c r="C47" s="10" t="inlineStr">
        <is>
          <t>203014</t>
        </is>
      </c>
      <c r="D47" s="10" t="inlineStr">
        <is>
          <t>3倍先进战斗光学瞄准镜</t>
        </is>
      </c>
      <c r="E47" s="10" t="inlineStr">
        <is>
          <t>3倍瞄准镜</t>
        </is>
      </c>
      <c r="F47" s="10" t="inlineStr">
        <is>
          <t>M416,AKM,M16A4,SCAR-L,GROZA,AUG,QBZ,M762,Mk47,G36C,Kar98k,M24,AWM,SKS,Mini14,Mk14,SLR,QBU,UMP45,Vector,野牛冲锋枪,S12K,M249,DP-28,十字弩</t>
        </is>
      </c>
    </row>
    <row r="48">
      <c r="A48" s="10" t="inlineStr">
        <is>
          <t>瞄准镜</t>
        </is>
      </c>
      <c r="B48" s="10" t="inlineStr">
        <is>
          <t>侧瞄准镜</t>
        </is>
      </c>
      <c r="C48" s="10" t="inlineStr">
        <is>
          <t>203007</t>
        </is>
      </c>
      <c r="D48" s="10" t="inlineStr">
        <is>
          <t>方便在中远距离点射和近距离扫射间快速切换。</t>
        </is>
      </c>
      <c r="E48" s="10" t="inlineStr">
        <is>
          <t>侧面瞄准</t>
        </is>
      </c>
      <c r="F48" s="10" t="inlineStr">
        <is>
          <t>M416,AKM,SCAR-L,AUG,QBZ,M762,MK47,G36C,Kar98K,M24,AWM,SKS,Mini14,Mk14,SLR,QBU,UMP45,Vector,野牛冲锋枪,S12K,M249</t>
        </is>
      </c>
    </row>
  </sheetData>
  <autoFilter ref="A4:F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8" customWidth="1" min="3" max="3"/>
    <col width="20" customWidth="1" min="4" max="4"/>
    <col width="26" customWidth="1" min="5" max="5"/>
    <col width="18" customWidth="1" min="6" max="6"/>
    <col width="12" customWidth="1" min="7" max="7"/>
    <col width="22" customWidth="1" min="8" max="8"/>
  </cols>
  <sheetData>
    <row r="1">
      <c r="A1" s="1" t="inlineStr">
        <is>
          <t>AppMedia: bảng phụ kiện PUBG Mobile bản toàn cầu (cập nhật 27/05/2022, đã ngừng cập nhật)</t>
        </is>
      </c>
    </row>
    <row r="2">
      <c r="A2" s="2" t="inlineStr">
        <is>
          <t>Nguồn: https://appmedia.jp/pubg/1847028 . Chép lại từ bản đọc của trang; chính trang cảnh báo văn bản có thể lẫn. Viết tắt: RD=Red Dot, Holo, Comp=Hãm giật, FH=Ẩn tia lửa, Supp=Giảm thanh, VG=Đứng, AG=Tam giác, TG=Ngón cái, HG=Half, LG=Nhẹ, TS=Báng chiến thuật, CP=Ốp má, SH=Vỏ đạn.</t>
        </is>
      </c>
    </row>
    <row r="4" ht="44" customHeight="1">
      <c r="A4" s="9" t="inlineStr">
        <is>
          <t>Loại</t>
        </is>
      </c>
      <c r="B4" s="9" t="inlineStr">
        <is>
          <t>Súng</t>
        </is>
      </c>
      <c r="C4" s="9" t="inlineStr">
        <is>
          <t>Ống ngắm</t>
        </is>
      </c>
      <c r="D4" s="9" t="inlineStr">
        <is>
          <t>Đầu nòng</t>
        </is>
      </c>
      <c r="E4" s="9" t="inlineStr">
        <is>
          <t>Tay cầm</t>
        </is>
      </c>
      <c r="F4" s="9" t="inlineStr">
        <is>
          <t>Băng đạn</t>
        </is>
      </c>
      <c r="G4" s="9" t="inlineStr">
        <is>
          <t>Báng</t>
        </is>
      </c>
      <c r="H4" s="9" t="inlineStr">
        <is>
          <t>Khác</t>
        </is>
      </c>
    </row>
    <row r="5">
      <c r="A5" s="10" t="inlineStr">
        <is>
          <t>HG</t>
        </is>
      </c>
      <c r="B5" s="10" t="inlineStr">
        <is>
          <t>Deagle</t>
        </is>
      </c>
      <c r="C5" s="10" t="inlineStr">
        <is>
          <t>RD, Holo</t>
        </is>
      </c>
      <c r="D5" s="10" t="inlineStr">
        <is>
          <t>—</t>
        </is>
      </c>
      <c r="E5" s="10" t="inlineStr">
        <is>
          <t>—</t>
        </is>
      </c>
      <c r="F5" s="10" t="inlineStr">
        <is>
          <t>QD, LM, LQD</t>
        </is>
      </c>
      <c r="G5" s="10" t="inlineStr">
        <is>
          <t>—</t>
        </is>
      </c>
      <c r="H5" s="10" t="inlineStr">
        <is>
          <t>Laser</t>
        </is>
      </c>
    </row>
    <row r="6">
      <c r="A6" s="10" t="inlineStr">
        <is>
          <t>HG</t>
        </is>
      </c>
      <c r="B6" s="10" t="inlineStr">
        <is>
          <t>P1911</t>
        </is>
      </c>
      <c r="C6" s="10" t="inlineStr">
        <is>
          <t>RD, Holo</t>
        </is>
      </c>
      <c r="D6" s="10" t="inlineStr">
        <is>
          <t>Supp</t>
        </is>
      </c>
      <c r="E6" s="10" t="inlineStr">
        <is>
          <t>—</t>
        </is>
      </c>
      <c r="F6" s="10" t="inlineStr">
        <is>
          <t>QD, LM, LQD</t>
        </is>
      </c>
      <c r="G6" s="10" t="inlineStr">
        <is>
          <t>—</t>
        </is>
      </c>
      <c r="H6" s="10" t="inlineStr">
        <is>
          <t>Laser</t>
        </is>
      </c>
    </row>
    <row r="7">
      <c r="A7" s="10" t="inlineStr">
        <is>
          <t>HG</t>
        </is>
      </c>
      <c r="B7" s="10" t="inlineStr">
        <is>
          <t>R45</t>
        </is>
      </c>
      <c r="C7" s="10" t="inlineStr">
        <is>
          <t>RD, Holo</t>
        </is>
      </c>
      <c r="D7" s="10" t="inlineStr">
        <is>
          <t>—</t>
        </is>
      </c>
      <c r="E7" s="10" t="inlineStr">
        <is>
          <t>—</t>
        </is>
      </c>
      <c r="F7" s="10" t="inlineStr">
        <is>
          <t>—</t>
        </is>
      </c>
      <c r="G7" s="10" t="inlineStr">
        <is>
          <t>—</t>
        </is>
      </c>
      <c r="H7" s="10" t="inlineStr">
        <is>
          <t>Laser</t>
        </is>
      </c>
    </row>
    <row r="8">
      <c r="A8" s="10" t="inlineStr">
        <is>
          <t>HG</t>
        </is>
      </c>
      <c r="B8" s="10" t="inlineStr">
        <is>
          <t>R1895</t>
        </is>
      </c>
      <c r="C8" s="10" t="inlineStr">
        <is>
          <t>—</t>
        </is>
      </c>
      <c r="D8" s="10" t="inlineStr">
        <is>
          <t>Supp</t>
        </is>
      </c>
      <c r="E8" s="10" t="inlineStr">
        <is>
          <t>—</t>
        </is>
      </c>
      <c r="F8" s="10" t="inlineStr">
        <is>
          <t>—</t>
        </is>
      </c>
      <c r="G8" s="10" t="inlineStr">
        <is>
          <t>—</t>
        </is>
      </c>
      <c r="H8" s="10" t="inlineStr">
        <is>
          <t>—</t>
        </is>
      </c>
    </row>
    <row r="9">
      <c r="A9" s="10" t="inlineStr">
        <is>
          <t>HG</t>
        </is>
      </c>
      <c r="B9" s="10" t="inlineStr">
        <is>
          <t>P18C</t>
        </is>
      </c>
      <c r="C9" s="10" t="inlineStr">
        <is>
          <t>RD, Holo</t>
        </is>
      </c>
      <c r="D9" s="10" t="inlineStr">
        <is>
          <t>Supp</t>
        </is>
      </c>
      <c r="E9" s="10" t="inlineStr">
        <is>
          <t>—</t>
        </is>
      </c>
      <c r="F9" s="10" t="inlineStr">
        <is>
          <t>QD, LM, LQD</t>
        </is>
      </c>
      <c r="G9" s="10" t="inlineStr">
        <is>
          <t>—</t>
        </is>
      </c>
      <c r="H9" s="10" t="inlineStr">
        <is>
          <t>Laser</t>
        </is>
      </c>
    </row>
    <row r="10">
      <c r="A10" s="10" t="inlineStr">
        <is>
          <t>HG</t>
        </is>
      </c>
      <c r="B10" s="10" t="inlineStr">
        <is>
          <t>P92</t>
        </is>
      </c>
      <c r="C10" s="10" t="inlineStr">
        <is>
          <t>RD, Holo</t>
        </is>
      </c>
      <c r="D10" s="10" t="inlineStr">
        <is>
          <t>Supp</t>
        </is>
      </c>
      <c r="E10" s="10" t="inlineStr">
        <is>
          <t>—</t>
        </is>
      </c>
      <c r="F10" s="10" t="inlineStr">
        <is>
          <t>QD, LM, LQD</t>
        </is>
      </c>
      <c r="G10" s="10" t="inlineStr">
        <is>
          <t>—</t>
        </is>
      </c>
      <c r="H10" s="10" t="inlineStr">
        <is>
          <t>Laser</t>
        </is>
      </c>
    </row>
    <row r="11">
      <c r="A11" s="10" t="inlineStr">
        <is>
          <t>HG</t>
        </is>
      </c>
      <c r="B11" s="10" t="inlineStr">
        <is>
          <t>Skorpion</t>
        </is>
      </c>
      <c r="C11" s="10" t="inlineStr">
        <is>
          <t>RD, Holo</t>
        </is>
      </c>
      <c r="D11" s="10" t="inlineStr">
        <is>
          <t>Supp</t>
        </is>
      </c>
      <c r="E11" s="10" t="inlineStr">
        <is>
          <t>VG, LG, HG</t>
        </is>
      </c>
      <c r="F11" s="10" t="inlineStr">
        <is>
          <t>LM</t>
        </is>
      </c>
      <c r="G11" s="10" t="inlineStr">
        <is>
          <t>Stock</t>
        </is>
      </c>
      <c r="H11" s="10" t="inlineStr">
        <is>
          <t>Laser</t>
        </is>
      </c>
    </row>
    <row r="12">
      <c r="A12" s="10" t="inlineStr">
        <is>
          <t>HG</t>
        </is>
      </c>
      <c r="B12" s="10" t="inlineStr">
        <is>
          <t>Sawed-off</t>
        </is>
      </c>
      <c r="C12" s="10" t="inlineStr">
        <is>
          <t>—</t>
        </is>
      </c>
      <c r="D12" s="10" t="inlineStr">
        <is>
          <t>—</t>
        </is>
      </c>
      <c r="E12" s="10" t="inlineStr">
        <is>
          <t>—</t>
        </is>
      </c>
      <c r="F12" s="10" t="inlineStr">
        <is>
          <t>—</t>
        </is>
      </c>
      <c r="G12" s="10" t="inlineStr">
        <is>
          <t>—</t>
        </is>
      </c>
      <c r="H12" s="10" t="inlineStr">
        <is>
          <t>Choke</t>
        </is>
      </c>
    </row>
    <row r="13">
      <c r="A13" s="10" t="inlineStr">
        <is>
          <t>SG</t>
        </is>
      </c>
      <c r="B13" s="10" t="inlineStr">
        <is>
          <t>M1014</t>
        </is>
      </c>
      <c r="C13" s="10" t="inlineStr">
        <is>
          <t>—</t>
        </is>
      </c>
      <c r="D13" s="10" t="inlineStr">
        <is>
          <t>—</t>
        </is>
      </c>
      <c r="E13" s="10" t="inlineStr">
        <is>
          <t>—</t>
        </is>
      </c>
      <c r="F13" s="10" t="inlineStr">
        <is>
          <t>—</t>
        </is>
      </c>
      <c r="G13" s="10" t="inlineStr">
        <is>
          <t>—</t>
        </is>
      </c>
      <c r="H13" s="10" t="inlineStr">
        <is>
          <t>Choke, Duckbill, SH</t>
        </is>
      </c>
    </row>
    <row r="14">
      <c r="A14" s="10" t="inlineStr">
        <is>
          <t>SG</t>
        </is>
      </c>
      <c r="B14" s="10" t="inlineStr">
        <is>
          <t>S12K</t>
        </is>
      </c>
      <c r="C14" s="10" t="inlineStr">
        <is>
          <t>RD, Holo, Canted, 2–6x</t>
        </is>
      </c>
      <c r="D14" s="10" t="inlineStr">
        <is>
          <t>—</t>
        </is>
      </c>
      <c r="E14" s="10" t="inlineStr">
        <is>
          <t>—</t>
        </is>
      </c>
      <c r="F14" s="10" t="inlineStr">
        <is>
          <t>—</t>
        </is>
      </c>
      <c r="G14" s="10" t="inlineStr">
        <is>
          <t>—</t>
        </is>
      </c>
      <c r="H14" s="10" t="inlineStr">
        <is>
          <t>—</t>
        </is>
      </c>
    </row>
    <row r="15">
      <c r="A15" s="10" t="inlineStr">
        <is>
          <t>SG</t>
        </is>
      </c>
      <c r="B15" s="10" t="inlineStr">
        <is>
          <t>S1897</t>
        </is>
      </c>
      <c r="C15" s="10" t="inlineStr">
        <is>
          <t>—</t>
        </is>
      </c>
      <c r="D15" s="10" t="inlineStr">
        <is>
          <t>—</t>
        </is>
      </c>
      <c r="E15" s="10" t="inlineStr">
        <is>
          <t>—</t>
        </is>
      </c>
      <c r="F15" s="10" t="inlineStr">
        <is>
          <t>—</t>
        </is>
      </c>
      <c r="G15" s="10" t="inlineStr">
        <is>
          <t>—</t>
        </is>
      </c>
      <c r="H15" s="10" t="inlineStr">
        <is>
          <t>Choke, Duckbill, SH</t>
        </is>
      </c>
    </row>
    <row r="16">
      <c r="A16" s="10" t="inlineStr">
        <is>
          <t>SG</t>
        </is>
      </c>
      <c r="B16" s="10" t="inlineStr">
        <is>
          <t>S686</t>
        </is>
      </c>
      <c r="C16" s="10" t="inlineStr">
        <is>
          <t>—</t>
        </is>
      </c>
      <c r="D16" s="10" t="inlineStr">
        <is>
          <t>—</t>
        </is>
      </c>
      <c r="E16" s="10" t="inlineStr">
        <is>
          <t>—</t>
        </is>
      </c>
      <c r="F16" s="10" t="inlineStr">
        <is>
          <t>—</t>
        </is>
      </c>
      <c r="G16" s="10" t="inlineStr">
        <is>
          <t>—</t>
        </is>
      </c>
      <c r="H16" s="10" t="inlineStr">
        <is>
          <t>Choke, SH</t>
        </is>
      </c>
    </row>
    <row r="17">
      <c r="A17" s="10" t="inlineStr">
        <is>
          <t>SG</t>
        </is>
      </c>
      <c r="B17" s="10" t="inlineStr">
        <is>
          <t>DBS</t>
        </is>
      </c>
      <c r="C17" s="10" t="inlineStr">
        <is>
          <t>RD, Holo, Canted, 2–6x</t>
        </is>
      </c>
      <c r="D17" s="10" t="inlineStr">
        <is>
          <t>—</t>
        </is>
      </c>
      <c r="E17" s="10" t="inlineStr">
        <is>
          <t>—</t>
        </is>
      </c>
      <c r="F17" s="10" t="inlineStr">
        <is>
          <t>—</t>
        </is>
      </c>
      <c r="G17" s="10" t="inlineStr">
        <is>
          <t>—</t>
        </is>
      </c>
      <c r="H17" s="10" t="inlineStr">
        <is>
          <t>—</t>
        </is>
      </c>
    </row>
    <row r="18">
      <c r="A18" s="10" t="inlineStr">
        <is>
          <t>SMG</t>
        </is>
      </c>
      <c r="B18" s="10" t="inlineStr">
        <is>
          <t>P90</t>
        </is>
      </c>
      <c r="C18" s="10" t="inlineStr">
        <is>
          <t>RD, Holo, 2–6x</t>
        </is>
      </c>
      <c r="D18" s="10" t="inlineStr">
        <is>
          <t>Comp, FH, Supp</t>
        </is>
      </c>
      <c r="E18" s="10" t="inlineStr">
        <is>
          <t>—</t>
        </is>
      </c>
      <c r="F18" s="10" t="inlineStr">
        <is>
          <t>—</t>
        </is>
      </c>
      <c r="G18" s="10" t="inlineStr">
        <is>
          <t>—</t>
        </is>
      </c>
      <c r="H18" s="10" t="inlineStr">
        <is>
          <t>Laser</t>
        </is>
      </c>
    </row>
    <row r="19">
      <c r="A19" s="10" t="inlineStr">
        <is>
          <t>SMG</t>
        </is>
      </c>
      <c r="B19" s="10" t="inlineStr">
        <is>
          <t>Tommy Gun</t>
        </is>
      </c>
      <c r="C19" s="10" t="inlineStr">
        <is>
          <t>RD, Holo</t>
        </is>
      </c>
      <c r="D19" s="10" t="inlineStr">
        <is>
          <t>Supp</t>
        </is>
      </c>
      <c r="E19" s="10" t="inlineStr">
        <is>
          <t>VG</t>
        </is>
      </c>
      <c r="F19" s="10" t="inlineStr">
        <is>
          <t>QD, LM, LQD</t>
        </is>
      </c>
      <c r="G19" s="10" t="inlineStr">
        <is>
          <t>—</t>
        </is>
      </c>
      <c r="H19" s="10" t="inlineStr">
        <is>
          <t>—</t>
        </is>
      </c>
    </row>
    <row r="20">
      <c r="A20" s="10" t="inlineStr">
        <is>
          <t>SMG</t>
        </is>
      </c>
      <c r="B20" s="10" t="inlineStr">
        <is>
          <t>Vector</t>
        </is>
      </c>
      <c r="C20" s="10" t="inlineStr">
        <is>
          <t>RD, Holo, Canted, 2–6x</t>
        </is>
      </c>
      <c r="D20" s="10" t="inlineStr">
        <is>
          <t>Comp, FH, Supp</t>
        </is>
      </c>
      <c r="E20" s="10" t="inlineStr">
        <is>
          <t>VG, LG, HG</t>
        </is>
      </c>
      <c r="F20" s="10" t="inlineStr">
        <is>
          <t>QD, LM, LQD</t>
        </is>
      </c>
      <c r="G20" s="10" t="inlineStr">
        <is>
          <t>TS</t>
        </is>
      </c>
      <c r="H20" s="10" t="inlineStr">
        <is>
          <t>Laser</t>
        </is>
      </c>
    </row>
    <row r="21">
      <c r="A21" s="10" t="inlineStr">
        <is>
          <t>SMG</t>
        </is>
      </c>
      <c r="B21" s="10" t="inlineStr">
        <is>
          <t>Micro UZI</t>
        </is>
      </c>
      <c r="C21" s="10" t="inlineStr">
        <is>
          <t>RD, Holo</t>
        </is>
      </c>
      <c r="D21" s="10" t="inlineStr">
        <is>
          <t>Comp, FH, Supp</t>
        </is>
      </c>
      <c r="E21" s="10" t="inlineStr">
        <is>
          <t>—</t>
        </is>
      </c>
      <c r="F21" s="10" t="inlineStr">
        <is>
          <t>QD, LM, LQD</t>
        </is>
      </c>
      <c r="G21" s="10" t="inlineStr">
        <is>
          <t>Stock</t>
        </is>
      </c>
      <c r="H21" s="10" t="inlineStr">
        <is>
          <t>—</t>
        </is>
      </c>
    </row>
    <row r="22">
      <c r="A22" s="10" t="inlineStr">
        <is>
          <t>SMG</t>
        </is>
      </c>
      <c r="B22" s="10" t="inlineStr">
        <is>
          <t>MP5K</t>
        </is>
      </c>
      <c r="C22" s="10" t="inlineStr">
        <is>
          <t>RD, Holo, Canted, 2–6x</t>
        </is>
      </c>
      <c r="D22" s="10" t="inlineStr">
        <is>
          <t>Comp, FH, Supp</t>
        </is>
      </c>
      <c r="E22" s="10" t="inlineStr">
        <is>
          <t>VG, LG, HG</t>
        </is>
      </c>
      <c r="F22" s="10" t="inlineStr">
        <is>
          <t>QD, LM, LQD</t>
        </is>
      </c>
      <c r="G22" s="10" t="inlineStr">
        <is>
          <t>TS</t>
        </is>
      </c>
      <c r="H22" s="10" t="inlineStr">
        <is>
          <t>Laser</t>
        </is>
      </c>
    </row>
    <row r="23">
      <c r="A23" s="10" t="inlineStr">
        <is>
          <t>SMG</t>
        </is>
      </c>
      <c r="B23" s="10" t="inlineStr">
        <is>
          <t>PP-19 Bizon</t>
        </is>
      </c>
      <c r="C23" s="10" t="inlineStr">
        <is>
          <t>RD, Holo, 2–6x</t>
        </is>
      </c>
      <c r="D23" s="10" t="inlineStr">
        <is>
          <t>Comp, FH, Supp</t>
        </is>
      </c>
      <c r="E23" s="10" t="inlineStr">
        <is>
          <t>—</t>
        </is>
      </c>
      <c r="F23" s="10" t="inlineStr">
        <is>
          <t>—</t>
        </is>
      </c>
      <c r="G23" s="10" t="inlineStr">
        <is>
          <t>—</t>
        </is>
      </c>
      <c r="H23" s="10" t="inlineStr">
        <is>
          <t>—</t>
        </is>
      </c>
    </row>
    <row r="24">
      <c r="A24" s="10" t="inlineStr">
        <is>
          <t>SMG</t>
        </is>
      </c>
      <c r="B24" s="10" t="inlineStr">
        <is>
          <t>UMP45</t>
        </is>
      </c>
      <c r="C24" s="10" t="inlineStr">
        <is>
          <t>RD, Holo, Canted, 2–6x</t>
        </is>
      </c>
      <c r="D24" s="10" t="inlineStr">
        <is>
          <t>Comp, FH, Supp</t>
        </is>
      </c>
      <c r="E24" s="10" t="inlineStr">
        <is>
          <t>VG, AG, TG, HG, LG</t>
        </is>
      </c>
      <c r="F24" s="10" t="inlineStr">
        <is>
          <t>QD, LM, LQD</t>
        </is>
      </c>
      <c r="G24" s="10" t="inlineStr">
        <is>
          <t>—</t>
        </is>
      </c>
      <c r="H24" s="10" t="inlineStr">
        <is>
          <t>Laser</t>
        </is>
      </c>
    </row>
    <row r="25">
      <c r="A25" s="10" t="inlineStr">
        <is>
          <t>AR</t>
        </is>
      </c>
      <c r="B25" s="10" t="inlineStr">
        <is>
          <t>AUG</t>
        </is>
      </c>
      <c r="C25" s="10" t="inlineStr">
        <is>
          <t>RD, Holo, Canted, 2–6x</t>
        </is>
      </c>
      <c r="D25" s="10" t="inlineStr">
        <is>
          <t>Comp, FH, Supp</t>
        </is>
      </c>
      <c r="E25" s="10" t="inlineStr">
        <is>
          <t>VG, AG, TG, HG, LG</t>
        </is>
      </c>
      <c r="F25" s="10" t="inlineStr">
        <is>
          <t>QD, LM, LQD</t>
        </is>
      </c>
      <c r="G25" s="10" t="inlineStr">
        <is>
          <t>—</t>
        </is>
      </c>
      <c r="H25" s="10" t="inlineStr">
        <is>
          <t>Laser</t>
        </is>
      </c>
    </row>
    <row r="26">
      <c r="A26" s="10" t="inlineStr">
        <is>
          <t>AR</t>
        </is>
      </c>
      <c r="B26" s="10" t="inlineStr">
        <is>
          <t>FAMAS</t>
        </is>
      </c>
      <c r="C26" s="10" t="inlineStr">
        <is>
          <t>RD, Holo, Canted, 2–6x</t>
        </is>
      </c>
      <c r="D26" s="10" t="inlineStr">
        <is>
          <t>Comp, FH, Supp</t>
        </is>
      </c>
      <c r="E26" s="10" t="inlineStr">
        <is>
          <t>—</t>
        </is>
      </c>
      <c r="F26" s="10" t="inlineStr">
        <is>
          <t>QD, LM, LQD</t>
        </is>
      </c>
      <c r="G26" s="10" t="inlineStr">
        <is>
          <t>—</t>
        </is>
      </c>
      <c r="H26" s="10" t="inlineStr">
        <is>
          <t>—</t>
        </is>
      </c>
    </row>
    <row r="27">
      <c r="A27" s="10" t="inlineStr">
        <is>
          <t>AR</t>
        </is>
      </c>
      <c r="B27" s="10" t="inlineStr">
        <is>
          <t>G36C</t>
        </is>
      </c>
      <c r="C27" s="10" t="inlineStr">
        <is>
          <t>RD, Holo, Canted, 2–6x</t>
        </is>
      </c>
      <c r="D27" s="10" t="inlineStr">
        <is>
          <t>Comp, FH, Supp</t>
        </is>
      </c>
      <c r="E27" s="10" t="inlineStr">
        <is>
          <t>VG, AG, TG, HG, LG</t>
        </is>
      </c>
      <c r="F27" s="10" t="inlineStr">
        <is>
          <t>QD, LM, LQD</t>
        </is>
      </c>
      <c r="G27" s="10" t="inlineStr">
        <is>
          <t>—</t>
        </is>
      </c>
      <c r="H27" s="10" t="inlineStr">
        <is>
          <t>Laser</t>
        </is>
      </c>
    </row>
    <row r="28">
      <c r="A28" s="10" t="inlineStr">
        <is>
          <t>AR</t>
        </is>
      </c>
      <c r="B28" s="10" t="inlineStr">
        <is>
          <t>M16A4</t>
        </is>
      </c>
      <c r="C28" s="10" t="inlineStr">
        <is>
          <t>RD, Holo, Canted, 2–6x</t>
        </is>
      </c>
      <c r="D28" s="10" t="inlineStr">
        <is>
          <t>Comp, FH, Supp</t>
        </is>
      </c>
      <c r="E28" s="10" t="inlineStr">
        <is>
          <t>—</t>
        </is>
      </c>
      <c r="F28" s="10" t="inlineStr">
        <is>
          <t>QD, LM, LQD</t>
        </is>
      </c>
      <c r="G28" s="10" t="inlineStr">
        <is>
          <t>TS</t>
        </is>
      </c>
      <c r="H28" s="10" t="inlineStr">
        <is>
          <t>—</t>
        </is>
      </c>
    </row>
    <row r="29">
      <c r="A29" s="10" t="inlineStr">
        <is>
          <t>AR</t>
        </is>
      </c>
      <c r="B29" s="10" t="inlineStr">
        <is>
          <t>M416</t>
        </is>
      </c>
      <c r="C29" s="10" t="inlineStr">
        <is>
          <t>RD, Holo, Canted, 2–6x</t>
        </is>
      </c>
      <c r="D29" s="10" t="inlineStr">
        <is>
          <t>Comp, FH, Supp</t>
        </is>
      </c>
      <c r="E29" s="10" t="inlineStr">
        <is>
          <t>VG, AG, TG, HG, LG</t>
        </is>
      </c>
      <c r="F29" s="10" t="inlineStr">
        <is>
          <t>QD, LM, LQD</t>
        </is>
      </c>
      <c r="G29" s="10" t="inlineStr">
        <is>
          <t>TS</t>
        </is>
      </c>
      <c r="H29" s="10" t="inlineStr">
        <is>
          <t>Laser</t>
        </is>
      </c>
    </row>
    <row r="30">
      <c r="A30" s="10" t="inlineStr">
        <is>
          <t>AR</t>
        </is>
      </c>
      <c r="B30" s="10" t="inlineStr">
        <is>
          <t>M762</t>
        </is>
      </c>
      <c r="C30" s="10" t="inlineStr">
        <is>
          <t>RD, Holo, Canted, 2–6x</t>
        </is>
      </c>
      <c r="D30" s="10" t="inlineStr">
        <is>
          <t>Comp, FH, Supp</t>
        </is>
      </c>
      <c r="E30" s="10" t="inlineStr">
        <is>
          <t>VG, AG, TG, HG, LG</t>
        </is>
      </c>
      <c r="F30" s="10" t="inlineStr">
        <is>
          <t>QD, LM, LQD</t>
        </is>
      </c>
      <c r="G30" s="10" t="inlineStr">
        <is>
          <t>—</t>
        </is>
      </c>
      <c r="H30" s="10" t="inlineStr">
        <is>
          <t>Laser</t>
        </is>
      </c>
    </row>
    <row r="31">
      <c r="A31" s="10" t="inlineStr">
        <is>
          <t>AR</t>
        </is>
      </c>
      <c r="B31" s="10" t="inlineStr">
        <is>
          <t>Mk47 Mutant</t>
        </is>
      </c>
      <c r="C31" s="10" t="inlineStr">
        <is>
          <t>RD, Holo, Canted, 2–6x</t>
        </is>
      </c>
      <c r="D31" s="10" t="inlineStr">
        <is>
          <t>Comp, FH, Supp</t>
        </is>
      </c>
      <c r="E31" s="10" t="inlineStr">
        <is>
          <t>VG, AG, TG, HG, LG</t>
        </is>
      </c>
      <c r="F31" s="10" t="inlineStr">
        <is>
          <t>QD, LM, LQD</t>
        </is>
      </c>
      <c r="G31" s="10" t="inlineStr">
        <is>
          <t>TS</t>
        </is>
      </c>
      <c r="H31" s="10" t="inlineStr">
        <is>
          <t>Laser</t>
        </is>
      </c>
    </row>
    <row r="32">
      <c r="A32" s="10" t="inlineStr">
        <is>
          <t>AR</t>
        </is>
      </c>
      <c r="B32" s="10" t="inlineStr">
        <is>
          <t>QBZ</t>
        </is>
      </c>
      <c r="C32" s="10" t="inlineStr">
        <is>
          <t>RD, Holo, Canted, 2–6x</t>
        </is>
      </c>
      <c r="D32" s="10" t="inlineStr">
        <is>
          <t>Comp, FH, Supp</t>
        </is>
      </c>
      <c r="E32" s="10" t="inlineStr">
        <is>
          <t>VG, AG, TG, HG, LG</t>
        </is>
      </c>
      <c r="F32" s="10" t="inlineStr">
        <is>
          <t>QD, LM, LQD</t>
        </is>
      </c>
      <c r="G32" s="10" t="inlineStr">
        <is>
          <t>—</t>
        </is>
      </c>
      <c r="H32" s="10" t="inlineStr">
        <is>
          <t>Laser</t>
        </is>
      </c>
    </row>
    <row r="33">
      <c r="A33" s="10" t="inlineStr">
        <is>
          <t>AR</t>
        </is>
      </c>
      <c r="B33" s="10" t="inlineStr">
        <is>
          <t>SCAR-L</t>
        </is>
      </c>
      <c r="C33" s="10" t="inlineStr">
        <is>
          <t>RD, Holo, Canted, 2–6x</t>
        </is>
      </c>
      <c r="D33" s="10" t="inlineStr">
        <is>
          <t>Comp, FH, Supp</t>
        </is>
      </c>
      <c r="E33" s="10" t="inlineStr">
        <is>
          <t>VG, AG, TG, HG, LG</t>
        </is>
      </c>
      <c r="F33" s="10" t="inlineStr">
        <is>
          <t>QD, LM, LQD</t>
        </is>
      </c>
      <c r="G33" s="10" t="inlineStr">
        <is>
          <t>—</t>
        </is>
      </c>
      <c r="H33" s="10" t="inlineStr">
        <is>
          <t>Laser</t>
        </is>
      </c>
    </row>
    <row r="34">
      <c r="A34" s="10" t="inlineStr">
        <is>
          <t>AR</t>
        </is>
      </c>
      <c r="B34" s="10" t="inlineStr">
        <is>
          <t>AKM</t>
        </is>
      </c>
      <c r="C34" s="10" t="inlineStr">
        <is>
          <t>RD, Holo, Canted, 2–6x</t>
        </is>
      </c>
      <c r="D34" s="10" t="inlineStr">
        <is>
          <t>Comp, FH, Supp</t>
        </is>
      </c>
      <c r="E34" s="10" t="inlineStr">
        <is>
          <t>—</t>
        </is>
      </c>
      <c r="F34" s="10" t="inlineStr">
        <is>
          <t>QD, LM, LQD</t>
        </is>
      </c>
      <c r="G34" s="10" t="inlineStr">
        <is>
          <t>—</t>
        </is>
      </c>
      <c r="H34" s="10" t="inlineStr">
        <is>
          <t>—</t>
        </is>
      </c>
    </row>
    <row r="35">
      <c r="A35" s="10" t="inlineStr">
        <is>
          <t>AR</t>
        </is>
      </c>
      <c r="B35" s="10" t="inlineStr">
        <is>
          <t>Groza</t>
        </is>
      </c>
      <c r="C35" s="10" t="inlineStr">
        <is>
          <t>RD, Holo, 2–6x</t>
        </is>
      </c>
      <c r="D35" s="10" t="inlineStr">
        <is>
          <t>Supp</t>
        </is>
      </c>
      <c r="E35" s="10" t="inlineStr">
        <is>
          <t>—</t>
        </is>
      </c>
      <c r="F35" s="10" t="inlineStr">
        <is>
          <t>QD, LM, LQD</t>
        </is>
      </c>
      <c r="G35" s="10" t="inlineStr">
        <is>
          <t>—</t>
        </is>
      </c>
      <c r="H35" s="10" t="inlineStr">
        <is>
          <t>—</t>
        </is>
      </c>
    </row>
    <row r="36">
      <c r="A36" s="10" t="inlineStr">
        <is>
          <t>DMR</t>
        </is>
      </c>
      <c r="B36" s="10" t="inlineStr">
        <is>
          <t>Mk12</t>
        </is>
      </c>
      <c r="C36" s="10" t="inlineStr">
        <is>
          <t>RD, Holo, Canted, 2–8x</t>
        </is>
      </c>
      <c r="D36" s="10" t="inlineStr">
        <is>
          <t>Comp, FH, Supp</t>
        </is>
      </c>
      <c r="E36" s="10" t="inlineStr">
        <is>
          <t>—</t>
        </is>
      </c>
      <c r="F36" s="10" t="inlineStr">
        <is>
          <t>QD, LM, LQD</t>
        </is>
      </c>
      <c r="G36" s="10" t="inlineStr">
        <is>
          <t>—</t>
        </is>
      </c>
      <c r="H36" s="10" t="inlineStr">
        <is>
          <t>—</t>
        </is>
      </c>
    </row>
    <row r="37">
      <c r="A37" s="10" t="inlineStr">
        <is>
          <t>DMR</t>
        </is>
      </c>
      <c r="B37" s="10" t="inlineStr">
        <is>
          <t>Mini14</t>
        </is>
      </c>
      <c r="C37" s="10" t="inlineStr">
        <is>
          <t>RD, Holo, Canted, 2–8x</t>
        </is>
      </c>
      <c r="D37" s="10" t="inlineStr">
        <is>
          <t>Comp, FH, Supp</t>
        </is>
      </c>
      <c r="E37" s="10" t="inlineStr">
        <is>
          <t>—</t>
        </is>
      </c>
      <c r="F37" s="10" t="inlineStr">
        <is>
          <t>QD, LM, LQD</t>
        </is>
      </c>
      <c r="G37" s="10" t="inlineStr">
        <is>
          <t>—</t>
        </is>
      </c>
      <c r="H37" s="10" t="inlineStr">
        <is>
          <t>—</t>
        </is>
      </c>
    </row>
    <row r="38">
      <c r="A38" s="10" t="inlineStr">
        <is>
          <t>DMR</t>
        </is>
      </c>
      <c r="B38" s="10" t="inlineStr">
        <is>
          <t>QBU</t>
        </is>
      </c>
      <c r="C38" s="10" t="inlineStr">
        <is>
          <t>RD, Holo, Canted, 2–8x</t>
        </is>
      </c>
      <c r="D38" s="10" t="inlineStr">
        <is>
          <t>Comp, FH, Supp</t>
        </is>
      </c>
      <c r="E38" s="10" t="inlineStr">
        <is>
          <t>—</t>
        </is>
      </c>
      <c r="F38" s="10" t="inlineStr">
        <is>
          <t>QD, LM, LQD</t>
        </is>
      </c>
      <c r="G38" s="10" t="inlineStr">
        <is>
          <t>—</t>
        </is>
      </c>
      <c r="H38" s="10" t="inlineStr">
        <is>
          <t>—</t>
        </is>
      </c>
    </row>
    <row r="39">
      <c r="A39" s="10" t="inlineStr">
        <is>
          <t>DMR</t>
        </is>
      </c>
      <c r="B39" s="10" t="inlineStr">
        <is>
          <t>Mk14</t>
        </is>
      </c>
      <c r="C39" s="10" t="inlineStr">
        <is>
          <t>RD, Holo, Canted, 2–8x</t>
        </is>
      </c>
      <c r="D39" s="10" t="inlineStr">
        <is>
          <t>Comp, FH, Supp</t>
        </is>
      </c>
      <c r="E39" s="10" t="inlineStr">
        <is>
          <t>—</t>
        </is>
      </c>
      <c r="F39" s="10" t="inlineStr">
        <is>
          <t>QD, LM, LQD</t>
        </is>
      </c>
      <c r="G39" s="10" t="inlineStr">
        <is>
          <t>—</t>
        </is>
      </c>
      <c r="H39" s="10" t="inlineStr">
        <is>
          <t>CP</t>
        </is>
      </c>
    </row>
    <row r="40">
      <c r="A40" s="10" t="inlineStr">
        <is>
          <t>DMR</t>
        </is>
      </c>
      <c r="B40" s="10" t="inlineStr">
        <is>
          <t>SKS</t>
        </is>
      </c>
      <c r="C40" s="10" t="inlineStr">
        <is>
          <t>RD, Holo, Canted, 2–8x</t>
        </is>
      </c>
      <c r="D40" s="10" t="inlineStr">
        <is>
          <t>Comp, FH, Supp</t>
        </is>
      </c>
      <c r="E40" s="10" t="inlineStr">
        <is>
          <t>VG, AG, TG, HG, LG</t>
        </is>
      </c>
      <c r="F40" s="10" t="inlineStr">
        <is>
          <t>QD, LM, LQD</t>
        </is>
      </c>
      <c r="G40" s="10" t="inlineStr">
        <is>
          <t>—</t>
        </is>
      </c>
      <c r="H40" s="10" t="inlineStr">
        <is>
          <t>Laser, CP</t>
        </is>
      </c>
    </row>
    <row r="41">
      <c r="A41" s="10" t="inlineStr">
        <is>
          <t>DMR</t>
        </is>
      </c>
      <c r="B41" s="10" t="inlineStr">
        <is>
          <t>SLR</t>
        </is>
      </c>
      <c r="C41" s="10" t="inlineStr">
        <is>
          <t>RD, Holo, Canted, 2–8x</t>
        </is>
      </c>
      <c r="D41" s="10" t="inlineStr">
        <is>
          <t>Comp, FH, Supp</t>
        </is>
      </c>
      <c r="E41" s="10" t="inlineStr">
        <is>
          <t>—</t>
        </is>
      </c>
      <c r="F41" s="10" t="inlineStr">
        <is>
          <t>QD, LM, LQD</t>
        </is>
      </c>
      <c r="G41" s="10" t="inlineStr">
        <is>
          <t>—</t>
        </is>
      </c>
      <c r="H41" s="10" t="inlineStr">
        <is>
          <t>CP</t>
        </is>
      </c>
    </row>
    <row r="42">
      <c r="A42" s="10" t="inlineStr">
        <is>
          <t>DMR</t>
        </is>
      </c>
      <c r="B42" s="10" t="inlineStr">
        <is>
          <t>VSS</t>
        </is>
      </c>
      <c r="C42" s="10" t="inlineStr">
        <is>
          <t>—</t>
        </is>
      </c>
      <c r="D42" s="10" t="inlineStr">
        <is>
          <t>—</t>
        </is>
      </c>
      <c r="E42" s="10" t="inlineStr">
        <is>
          <t>—</t>
        </is>
      </c>
      <c r="F42" s="10" t="inlineStr">
        <is>
          <t>QD, LM, LQD</t>
        </is>
      </c>
      <c r="G42" s="10" t="inlineStr">
        <is>
          <t>—</t>
        </is>
      </c>
      <c r="H42" s="10" t="inlineStr">
        <is>
          <t>CP</t>
        </is>
      </c>
    </row>
    <row r="43">
      <c r="A43" s="10" t="inlineStr">
        <is>
          <t>SR</t>
        </is>
      </c>
      <c r="B43" s="10" t="inlineStr">
        <is>
          <t>AWM</t>
        </is>
      </c>
      <c r="C43" s="10" t="inlineStr">
        <is>
          <t>RD, Holo, Canted, 2–8x</t>
        </is>
      </c>
      <c r="D43" s="10" t="inlineStr">
        <is>
          <t>Comp, FH, Supp</t>
        </is>
      </c>
      <c r="E43" s="10" t="inlineStr">
        <is>
          <t>—</t>
        </is>
      </c>
      <c r="F43" s="10" t="inlineStr">
        <is>
          <t>QD, LM, LQD</t>
        </is>
      </c>
      <c r="G43" s="10" t="inlineStr">
        <is>
          <t>—</t>
        </is>
      </c>
      <c r="H43" s="10" t="inlineStr">
        <is>
          <t>CP</t>
        </is>
      </c>
    </row>
    <row r="44">
      <c r="A44" s="10" t="inlineStr">
        <is>
          <t>SR</t>
        </is>
      </c>
      <c r="B44" s="10" t="inlineStr">
        <is>
          <t>Win94</t>
        </is>
      </c>
      <c r="C44" s="10" t="inlineStr">
        <is>
          <t>—</t>
        </is>
      </c>
      <c r="D44" s="10" t="inlineStr">
        <is>
          <t>—</t>
        </is>
      </c>
      <c r="E44" s="10" t="inlineStr">
        <is>
          <t>—</t>
        </is>
      </c>
      <c r="F44" s="10" t="inlineStr">
        <is>
          <t>—</t>
        </is>
      </c>
      <c r="G44" s="10" t="inlineStr">
        <is>
          <t>—</t>
        </is>
      </c>
      <c r="H44" s="10" t="inlineStr">
        <is>
          <t>SH</t>
        </is>
      </c>
    </row>
    <row r="45">
      <c r="A45" s="10" t="inlineStr">
        <is>
          <t>SR</t>
        </is>
      </c>
      <c r="B45" s="10" t="inlineStr">
        <is>
          <t>Kar98K</t>
        </is>
      </c>
      <c r="C45" s="10" t="inlineStr">
        <is>
          <t>RD, Holo, Canted, 2–8x</t>
        </is>
      </c>
      <c r="D45" s="10" t="inlineStr">
        <is>
          <t>Comp, FH, Supp</t>
        </is>
      </c>
      <c r="E45" s="10" t="inlineStr">
        <is>
          <t>—</t>
        </is>
      </c>
      <c r="F45" s="10" t="inlineStr">
        <is>
          <t>—</t>
        </is>
      </c>
      <c r="G45" s="10" t="inlineStr">
        <is>
          <t>—</t>
        </is>
      </c>
      <c r="H45" s="10" t="inlineStr">
        <is>
          <t>CP, SH</t>
        </is>
      </c>
    </row>
    <row r="46">
      <c r="A46" s="10" t="inlineStr">
        <is>
          <t>SR</t>
        </is>
      </c>
      <c r="B46" s="10" t="inlineStr">
        <is>
          <t>M24</t>
        </is>
      </c>
      <c r="C46" s="10" t="inlineStr">
        <is>
          <t>RD, Holo, Canted, 2–8x</t>
        </is>
      </c>
      <c r="D46" s="10" t="inlineStr">
        <is>
          <t>Comp, FH, Supp</t>
        </is>
      </c>
      <c r="E46" s="10" t="inlineStr">
        <is>
          <t>—</t>
        </is>
      </c>
      <c r="F46" s="10" t="inlineStr">
        <is>
          <t>QD, LM, LQD</t>
        </is>
      </c>
      <c r="G46" s="10" t="inlineStr">
        <is>
          <t>—</t>
        </is>
      </c>
      <c r="H46" s="10" t="inlineStr">
        <is>
          <t>CP</t>
        </is>
      </c>
    </row>
    <row r="47">
      <c r="A47" s="10" t="inlineStr">
        <is>
          <t>SR</t>
        </is>
      </c>
      <c r="B47" s="10" t="inlineStr">
        <is>
          <t>Mosin-Nagant</t>
        </is>
      </c>
      <c r="C47" s="10" t="inlineStr">
        <is>
          <t>RD, Holo, Canted, 2–8x</t>
        </is>
      </c>
      <c r="D47" s="10" t="inlineStr">
        <is>
          <t>Comp, FH, Supp</t>
        </is>
      </c>
      <c r="E47" s="10" t="inlineStr">
        <is>
          <t>—</t>
        </is>
      </c>
      <c r="F47" s="10" t="inlineStr">
        <is>
          <t>—</t>
        </is>
      </c>
      <c r="G47" s="10" t="inlineStr">
        <is>
          <t>—</t>
        </is>
      </c>
      <c r="H47" s="10" t="inlineStr">
        <is>
          <t>CP, SH</t>
        </is>
      </c>
    </row>
    <row r="48">
      <c r="A48" s="10" t="inlineStr">
        <is>
          <t>LMG</t>
        </is>
      </c>
      <c r="B48" s="10" t="inlineStr">
        <is>
          <t>M249</t>
        </is>
      </c>
      <c r="C48" s="10" t="inlineStr">
        <is>
          <t>RD, Holo, Canted, 2–6x</t>
        </is>
      </c>
      <c r="D48" s="10" t="inlineStr">
        <is>
          <t>—</t>
        </is>
      </c>
      <c r="E48" s="10" t="inlineStr">
        <is>
          <t>—</t>
        </is>
      </c>
      <c r="F48" s="10" t="inlineStr">
        <is>
          <t>QD, LM, LQD</t>
        </is>
      </c>
      <c r="G48" s="10" t="inlineStr">
        <is>
          <t>TS</t>
        </is>
      </c>
      <c r="H48" s="10" t="inlineStr">
        <is>
          <t>—</t>
        </is>
      </c>
    </row>
    <row r="49">
      <c r="A49" s="10" t="inlineStr">
        <is>
          <t>LMG</t>
        </is>
      </c>
      <c r="B49" s="10" t="inlineStr">
        <is>
          <t>DP-28</t>
        </is>
      </c>
      <c r="C49" s="10" t="inlineStr">
        <is>
          <t>RD, Holo, 2–6x</t>
        </is>
      </c>
      <c r="D49" s="10" t="inlineStr">
        <is>
          <t>—</t>
        </is>
      </c>
      <c r="E49" s="10" t="inlineStr">
        <is>
          <t>—</t>
        </is>
      </c>
      <c r="F49" s="10" t="inlineStr">
        <is>
          <t>—</t>
        </is>
      </c>
      <c r="G49" s="10" t="inlineStr">
        <is>
          <t>—</t>
        </is>
      </c>
      <c r="H49" s="10" t="inlineStr">
        <is>
          <t>—</t>
        </is>
      </c>
    </row>
    <row r="50">
      <c r="A50" s="10" t="inlineStr">
        <is>
          <t>LMG</t>
        </is>
      </c>
      <c r="B50" s="10" t="inlineStr">
        <is>
          <t>MG3</t>
        </is>
      </c>
      <c r="C50" s="10" t="inlineStr">
        <is>
          <t>RD, Holo, 2–6x</t>
        </is>
      </c>
      <c r="D50" s="10" t="inlineStr">
        <is>
          <t>—</t>
        </is>
      </c>
      <c r="E50" s="10" t="inlineStr">
        <is>
          <t>—</t>
        </is>
      </c>
      <c r="F50" s="10" t="inlineStr">
        <is>
          <t>—</t>
        </is>
      </c>
      <c r="G50" s="10" t="inlineStr">
        <is>
          <t>—</t>
        </is>
      </c>
      <c r="H50" s="10" t="inlineStr">
        <is>
          <t>—</t>
        </is>
      </c>
    </row>
    <row r="51">
      <c r="A51" s="10" t="inlineStr">
        <is>
          <t>Cung</t>
        </is>
      </c>
      <c r="B51" s="10" t="inlineStr">
        <is>
          <t>Crossbow</t>
        </is>
      </c>
      <c r="C51" s="10" t="inlineStr">
        <is>
          <t>RD, Holo, 2–6x</t>
        </is>
      </c>
      <c r="D51" s="10" t="inlineStr">
        <is>
          <t>—</t>
        </is>
      </c>
      <c r="E51" s="10" t="inlineStr">
        <is>
          <t>—</t>
        </is>
      </c>
      <c r="F51" s="10" t="inlineStr">
        <is>
          <t>—</t>
        </is>
      </c>
      <c r="G51" s="10" t="inlineStr">
        <is>
          <t>—</t>
        </is>
      </c>
      <c r="H51" s="10" t="inlineStr">
        <is>
          <t>Quiver</t>
        </is>
      </c>
    </row>
  </sheetData>
  <autoFilter ref="A4:H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60" customWidth="1" min="3" max="3"/>
    <col width="24" customWidth="1" min="4" max="4"/>
    <col width="22" customWidth="1" min="5" max="5"/>
    <col width="44" customWidth="1" min="6" max="6"/>
    <col width="18" customWidth="1" min="7" max="7"/>
    <col width="60" customWidth="1" min="8" max="8"/>
  </cols>
  <sheetData>
    <row r="1">
      <c r="A1" s="1" t="inlineStr">
        <is>
          <t>Nguồn đã dùng và mức độ tin cậy</t>
        </is>
      </c>
    </row>
    <row r="3">
      <c r="A3" t="inlineStr">
        <is>
          <t>#</t>
        </is>
      </c>
      <c r="B3" t="inlineStr">
        <is>
          <t>Nguồn</t>
        </is>
      </c>
      <c r="C3" t="inlineStr">
        <is>
          <t>URL</t>
        </is>
      </c>
      <c r="D3" t="inlineStr">
        <is>
          <t>Ngày / phiên bản</t>
        </is>
      </c>
      <c r="E3" t="inlineStr">
        <is>
          <t>Loại</t>
        </is>
      </c>
      <c r="F3" t="inlineStr">
        <is>
          <t>Dùng cho</t>
        </is>
      </c>
      <c r="G3" t="inlineStr">
        <is>
          <t>Đánh giá</t>
        </is>
      </c>
      <c r="H3" t="inlineStr">
        <is>
          <t>Hạn chế</t>
        </is>
      </c>
    </row>
    <row r="4" ht="44" customHeight="1">
      <c r="A4" s="9" t="n">
        <v>1</v>
      </c>
      <c r="B4" s="9" t="inlineStr">
        <is>
          <t>Tencent: kho vũ khí 和平精英 (dữ liệu JSON)</t>
        </is>
      </c>
      <c r="C4" s="9" t="inlineStr">
        <is>
          <t>https://gp.qq.com/zlkdatasys/data_zlk_hpjywqzlk1.json  (trang: https://gp.qq.com/cp/a20251120arsenal/index.html)</t>
        </is>
      </c>
      <c r="D4" s="9" t="inlineStr">
        <is>
          <t>Trang tạo 20/11/2025 (theo đường dẫn); dữ liệu 45 vũ khí</t>
        </is>
      </c>
      <c r="E4" s="9" t="inlineStr">
        <is>
          <t>Chính thức</t>
        </is>
      </c>
      <c r="F4" s="9" t="inlineStr">
        <is>
          <t>33 súng khớp mã của app + toàn bộ danh sách phụ kiện → súng</t>
        </is>
      </c>
      <c r="G4" s="9" t="inlineStr">
        <is>
          <t>Cao nhất cho bản 和平精英</t>
        </is>
      </c>
      <c r="H4" s="9" t="inlineStr">
        <is>
          <t>Chỉ 45 vũ khí (không có Mosin, MP5K, P90, M1014, AMR, M417, ACE32, FAMAS, MK12...). Trang ghi dữ liệu do người chơi thu thập, lấy thông số trong game làm chuẩn.</t>
        </is>
      </c>
    </row>
    <row r="5">
      <c r="A5" s="10" t="n">
        <v>2</v>
      </c>
      <c r="B5" s="10" t="inlineStr">
        <is>
          <t>AppMedia: 武器一覧 (bảng phụ kiện PUBG Mobile toàn cầu)</t>
        </is>
      </c>
      <c r="C5" s="10" t="inlineStr">
        <is>
          <t>https://appmedia.jp/pubg/1847028</t>
        </is>
      </c>
      <c r="D5" s="10" t="inlineStr">
        <is>
          <t>27/05/2022, đã ngừng cập nhật</t>
        </is>
      </c>
      <c r="E5" s="10" t="inlineStr">
        <is>
          <t>Cộng đồng (Nhật), bản toàn cầu</t>
        </is>
      </c>
      <c r="F5" s="10" t="inlineStr">
        <is>
          <t>Mosin, M1014, MP5K, P90; kiểm chứng chéo CrossBow, MG3, M249, DBS, Bizon, Win94, FAMAS, MK12</t>
        </is>
      </c>
      <c r="G5" s="10" t="inlineStr">
        <is>
          <t>Trung bình</t>
        </is>
      </c>
      <c r="H5" s="10" t="inlineStr">
        <is>
          <t>Bản toàn cầu, không phải 和平精英; cũ (2022); văn bản đọc ra có thể lẫn hàng.</t>
        </is>
      </c>
    </row>
    <row r="6">
      <c r="A6" s="10" t="n">
        <v>3</v>
      </c>
      <c r="B6" s="10" t="inlineStr">
        <is>
          <t>AppMedia: DP-28</t>
        </is>
      </c>
      <c r="C6" s="10" t="inlineStr">
        <is>
          <t>https://appmedia.jp/?p=1864707</t>
        </is>
      </c>
      <c r="D6" s="10" t="inlineStr">
        <is>
          <t>05/08/2022</t>
        </is>
      </c>
      <c r="E6" s="10" t="inlineStr">
        <is>
          <t>Cộng đồng (Nhật)</t>
        </is>
      </c>
      <c r="F6" s="10" t="inlineStr">
        <is>
          <t>Kiểm chứng DP-28 (chỉ ống ngắm đến 6x)</t>
        </is>
      </c>
      <c r="G6" s="10" t="inlineStr">
        <is>
          <t>Trung bình</t>
        </is>
      </c>
      <c r="H6" s="10" t="inlineStr">
        <is>
          <t>Cũ; khớp dữ liệu chính thức.</t>
        </is>
      </c>
    </row>
    <row r="7">
      <c r="A7" s="10" t="n">
        <v>4</v>
      </c>
      <c r="B7" s="10" t="inlineStr">
        <is>
          <t>mobilematters.gg: Best AMR loadout</t>
        </is>
      </c>
      <c r="C7" s="10" t="inlineStr">
        <is>
          <t>https://mobilematters.gg/pubg/best-amr-loadout-in-pubg-mobile</t>
        </is>
      </c>
      <c r="D7" s="10" t="inlineStr">
        <is>
          <t>Không ghi ngày (chân trang 2026)</t>
        </is>
      </c>
      <c r="E7" s="10" t="inlineStr">
        <is>
          <t>Blog hướng dẫn</t>
        </is>
      </c>
      <c r="F7" s="10" t="inlineStr">
        <is>
          <t>AMR: chỉ một khe (ống ngắm), khuyên 8x</t>
        </is>
      </c>
      <c r="G7" s="10" t="inlineStr">
        <is>
          <t>Trung bình-thấp</t>
        </is>
      </c>
      <c r="H7" s="10" t="inlineStr">
        <is>
          <t>Một nguồn; không phải chính thức.</t>
        </is>
      </c>
    </row>
    <row r="8">
      <c r="A8" s="10" t="n">
        <v>5</v>
      </c>
      <c r="B8" s="10" t="inlineStr">
        <is>
          <t>mobilematters.gg: loadout MP5K, P90, M249</t>
        </is>
      </c>
      <c r="C8" s="10" t="inlineStr">
        <is>
          <t>https://mobilematters.gg/pubg/best-mp5k-loadout-pubg-mobile ; /pubg/best-m249-loadout-pubg-mobile-complete-attachment-setup ; /guides/best-p90-loadout-pubg-mobile</t>
        </is>
      </c>
      <c r="D8" s="10" t="inlineStr">
        <is>
          <t>Khoảng 600 ngày trước (theo kết quả tìm kiếm)</t>
        </is>
      </c>
      <c r="E8" s="10" t="inlineStr">
        <is>
          <t>Blog hướng dẫn</t>
        </is>
      </c>
      <c r="F8" s="10" t="inlineStr">
        <is>
          <t>Kiểm chứng chéo MP5K (tay cầm tam giác), P90 (Laser), M249 (báng chiến thuật)</t>
        </is>
      </c>
      <c r="G8" s="10" t="inlineStr">
        <is>
          <t>Thấp-trung bình</t>
        </is>
      </c>
      <c r="H8" s="10" t="inlineStr">
        <is>
          <t>Mô tả cấu hình khuyên dùng, không phải danh sách đầy đủ; chỉ qua tóm tắt tìm kiếm.</t>
        </is>
      </c>
    </row>
    <row r="9">
      <c r="A9" s="10" t="n">
        <v>6</v>
      </c>
      <c r="B9" s="10" t="inlineStr">
        <is>
          <t>game.xiaomi.com: đánh giá AMR trong 和平精英</t>
        </is>
      </c>
      <c r="C9" s="10" t="inlineStr">
        <is>
          <t>https://game.xiaomi.com/viewpoint/1012323863_1636530131682_13</t>
        </is>
      </c>
      <c r="D9" s="10" t="inlineStr">
        <is>
          <t>Cũ (2021)</t>
        </is>
      </c>
      <c r="E9" s="10" t="inlineStr">
        <is>
          <t>Cộng đồng</t>
        </is>
      </c>
      <c r="F9" s="10" t="inlineStr">
        <is>
          <t>AMR "chỉ cần một ống ngắm là đủ"</t>
        </is>
      </c>
      <c r="G9" s="10" t="inlineStr">
        <is>
          <t>Thấp-trung bình</t>
        </is>
      </c>
      <c r="H9" s="10" t="inlineStr">
        <is>
          <t>Chỉ qua tóm tắt tìm kiếm.</t>
        </is>
      </c>
    </row>
    <row r="10">
      <c r="A10" s="10" t="n">
        <v>7</v>
      </c>
      <c r="B10" s="10" t="inlineStr">
        <is>
          <t>gurugamer.com: M417 sắp ra mắt</t>
        </is>
      </c>
      <c r="C10" s="10" t="inlineStr">
        <is>
          <t>https://gurugamer.com/mobile-games/new-gun-m417-to-arrive-in-pubg-mobile-bgmi-20281/amp</t>
        </is>
      </c>
      <c r="D10" s="10" t="inlineStr">
        <is>
          <t>Trước khi phát hành (2022)</t>
        </is>
      </c>
      <c r="E10" s="10" t="inlineStr">
        <is>
          <t>Blog tin tức</t>
        </is>
      </c>
      <c r="F10" s="10" t="inlineStr">
        <is>
          <t>M417: ống ngắm đến 8x, băng đạn mặc định 10 viên</t>
        </is>
      </c>
      <c r="G10" s="10" t="inlineStr">
        <is>
          <t>Thấp</t>
        </is>
      </c>
      <c r="H10" s="10" t="inlineStr">
        <is>
          <t>Bài trước phát hành; không nêu nòng/tay cầm/báng.</t>
        </is>
      </c>
    </row>
    <row r="11">
      <c r="A11" s="10" t="n">
        <v>8</v>
      </c>
      <c r="B11" s="10" t="inlineStr">
        <is>
          <t>Dexerto wiki: JS9 (PUBG PC)</t>
        </is>
      </c>
      <c r="C11" s="10" t="inlineStr">
        <is>
          <t>https://www.dexerto.com/wikis/pubg/weapons/submachine-gun/js9/</t>
        </is>
      </c>
      <c r="D11" s="10" t="inlineStr">
        <is>
          <t>Không rõ</t>
        </is>
      </c>
      <c r="E11" s="10" t="inlineStr">
        <is>
          <t>Wiki PUBG PC</t>
        </is>
      </c>
      <c r="F11" s="10" t="inlineStr">
        <is>
          <t>JS9: nòng SMG (chỉ để tham khảo)</t>
        </is>
      </c>
      <c r="G11" s="10" t="inlineStr">
        <is>
          <t>Thấp</t>
        </is>
      </c>
      <c r="H11" s="10" t="inlineStr">
        <is>
          <t>Là PUBG PC, không phải PUBG Mobile/和平精英. KHÔNG dùng để đặt quy tắc.</t>
        </is>
      </c>
    </row>
    <row r="12">
      <c r="A12" s="10" t="n">
        <v>9</v>
      </c>
      <c r="B12" s="10" t="inlineStr">
        <is>
          <t>IMFDB: Talk:PUBG Battlegrounds</t>
        </is>
      </c>
      <c r="C12" s="10" t="inlineStr">
        <is>
          <t>https://imfdb.org/wiki/Talk:PUBG:_Battlegrounds</t>
        </is>
      </c>
      <c r="D12" s="10" t="inlineStr">
        <is>
          <t>Không rõ</t>
        </is>
      </c>
      <c r="E12" s="10" t="inlineStr">
        <is>
          <t>Wiki súng trong phim/game</t>
        </is>
      </c>
      <c r="F12" s="10" t="inlineStr">
        <is>
          <t>Nhận diện tên: ASM = ASM Abakan, Mk20-H = FN SSR, M1 = M1 Garand, M338 = SIG MG 338, MP7</t>
        </is>
      </c>
      <c r="G12" s="10" t="inlineStr">
        <is>
          <t>Thấp</t>
        </is>
      </c>
      <c r="H12" s="10" t="inlineStr">
        <is>
          <t>Chỉ để đoán tên súng, không có dữ liệu phụ kiện.</t>
        </is>
      </c>
    </row>
    <row r="13">
      <c r="A13" s="10" t="n">
        <v>10</v>
      </c>
      <c r="B13" s="10" t="inlineStr">
        <is>
          <t>Tencent: bài "Cách chọn phụ kiện" (2019) và bài về báng (2019)</t>
        </is>
      </c>
      <c r="C13" s="10" t="inlineStr">
        <is>
          <t>https://gp.qq.com/gicp/news/736/8836332.html ; https://gp.qq.com/gicp/news/684/7850544.html</t>
        </is>
      </c>
      <c r="D13" s="10" t="inlineStr">
        <is>
          <t>28/11/2019 và 24/08/2019</t>
        </is>
      </c>
      <c r="E13" s="10" t="inlineStr">
        <is>
          <t>Chính thức (cũ)</t>
        </is>
      </c>
      <c r="F13" s="10" t="inlineStr">
        <is>
          <t>Báng: UZI và Skorpion dùng báng thường; M416, Vector (và Mk47) dùng báng chiến thuật</t>
        </is>
      </c>
      <c r="G13" s="10" t="inlineStr">
        <is>
          <t>Trung bình</t>
        </is>
      </c>
      <c r="H13" s="10" t="inlineStr">
        <is>
          <t>Cũ; trang gặp lỗi mã hóa nên chỉ đọc được từng đoạn.</t>
        </is>
      </c>
    </row>
    <row r="14">
      <c r="A14" s="10" t="n">
        <v>11</v>
      </c>
      <c r="B14" s="10" t="inlineStr">
        <is>
          <t>Các nguồn đã thử nhưng không dùng được</t>
        </is>
      </c>
      <c r="C14" s="10" t="inlineStr">
        <is>
          <t>pubgmobile.fandom.com (HTTP 402), breezewiki (chặn bot), baike.baidu.com (403), pubg.wiki.gg và Dexerto (PUBG PC)</t>
        </is>
      </c>
      <c r="D14" s="10" t="inlineStr">
        <is>
          <t>—</t>
        </is>
      </c>
      <c r="E14" s="10" t="inlineStr">
        <is>
          <t>—</t>
        </is>
      </c>
      <c r="F14" s="10" t="inlineStr">
        <is>
          <t>—</t>
        </is>
      </c>
      <c r="G14" s="10" t="inlineStr">
        <is>
          <t>—</t>
        </is>
      </c>
      <c r="H14" s="10" t="inlineStr">
        <is>
          <t>Không đọc được hoặc không phải bản mobile.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60" customWidth="1" min="2" max="2"/>
  </cols>
  <sheetData>
    <row r="1">
      <c r="A1" s="1" t="inlineStr">
        <is>
          <t>Ghi chú, giả định và cách đọc</t>
        </is>
      </c>
    </row>
    <row r="3">
      <c r="A3" t="inlineStr">
        <is>
          <t>#</t>
        </is>
      </c>
      <c r="B3" t="inlineStr">
        <is>
          <t>Nội dung</t>
        </is>
      </c>
    </row>
    <row r="4" ht="44" customHeight="1">
      <c r="A4" s="9" t="n">
        <v>1</v>
      </c>
      <c r="B4" s="9" t="inlineStr">
        <is>
          <t>Phiên bản game: tên bộ cấu hình của bạn là "和平精英" (Game for Peace, bản Trung Quốc của PUBG Mobile). Dữ liệu chính thức dùng ở đây là của bản này. Các nguồn bản toàn cầu (AppMedia, mobilematters) có thể khác (ví dụ M249: bản toàn cầu có báng chiến thuật).</t>
        </is>
      </c>
    </row>
    <row r="5">
      <c r="A5" s="10" t="n">
        <v>2</v>
      </c>
      <c r="B5" s="10" t="inlineStr">
        <is>
          <t>Không có ống ngắm 16x: dữ liệu chính thức 和平精英 cao nhất là 8x (súng bắn tỉa, xạ thủ), 6x (AR, SMG, shotgun, súng máy, nỏ). Các giá trị 15x ghi trước đây trong app đã được bạn sửa về 8x; trong app mục ống ngắm cao nhất cũng là 8x (X8, X84, tactic, tactic_84).</t>
        </is>
      </c>
    </row>
    <row r="6">
      <c r="A6" s="10" t="n">
        <v>3</v>
      </c>
      <c r="B6" s="10" t="inlineStr">
        <is>
          <t>Ánh xạ tên tay cầm: Angled/tam giác = HORIZONTAL; Vertical = VERTICAL; Thumb = THUMB; Light = LIGHT; Half = HALF; "激光瞄准器" (Laser) = LASER (Tencent xếp Laser vào nhóm tay cầm). ERGONOMIC (công thái học) KHÔNG có trong dữ liệu chính thức.</t>
        </is>
      </c>
    </row>
    <row r="7">
      <c r="A7" s="10" t="n">
        <v>4</v>
      </c>
      <c r="B7" s="10" t="inlineStr">
        <is>
          <t>Ánh xạ nòng: Compensator = COMPENSATOR; Flash Hider = FLASH_HIDER; Suppressor = SUPPRESSOR. BRAKE, EXTENDER, BRAKE_NEW của app không có trong dữ liệu chính thức. Choke (霰弹收束器) và Duckbill (鸭嘴枪口) của shotgun không có chỗ trong danh sách nòng của app.</t>
        </is>
      </c>
    </row>
    <row r="8">
      <c r="A8" s="10" t="n">
        <v>5</v>
      </c>
      <c r="B8" s="10" t="inlineStr">
        <is>
          <t>Ánh xạ báng: "战术枪托" (báng chiến thuật) và "枪托" (báng thường của UZI, Skorpion) đều được ghi là GENERAL (app chỉ có GENERAL và GENERAL_NEW; chưa biết app dùng GENERAL cho loại nào). Ốp má (托腮板), Túi đạn (子弹袋), Túi tên (箭袋) không có trong danh sách báng/tay cầm của app nên coi là "không có".</t>
        </is>
      </c>
    </row>
    <row r="9">
      <c r="A9" s="10" t="n">
        <v>6</v>
      </c>
      <c r="B9" s="10" t="inlineStr">
        <is>
          <t>Băng đạn không được app mô hình hóa nên không nằm trong quy tắc.</t>
        </is>
      </c>
    </row>
    <row r="10">
      <c r="A10" s="10" t="n">
        <v>7</v>
      </c>
      <c r="B10" s="10" t="inlineStr">
        <is>
          <t>Mức tin cậy: Cao = dữ liệu chính thức 和平精英 (kiểm chứng chéo nếu có); Trung bình = nguồn thứ cấp bản toàn cầu hoặc có mâu thuẫn; Thấp = bài trước phát hành, bản PC hoặc suy luận; Chưa tìm thấy = không có nguồn đáng tin; Không áp dụng = không phải súng.</t>
        </is>
      </c>
    </row>
    <row r="11">
      <c r="A11" s="10" t="n">
        <v>8</v>
      </c>
      <c r="B11" s="10" t="inlineStr">
        <is>
          <t>Tên súng được "nhận diện" từ mã trong app. Nhiều mã (HB, MG97, ChiXiao, ACVAL...) chưa nhận diện được: đừng coi tên trong cột C của các dòng đó là chắc chắn.</t>
        </is>
      </c>
    </row>
    <row r="12">
      <c r="A12" s="10" t="n">
        <v>9</v>
      </c>
      <c r="B12" s="10" t="inlineStr">
        <is>
          <t>Súng "không đủ dữ liệu" được để TRỐNG ở cột đề xuất: app sẽ không hạn chế gì cho súng đó, thay vì đoán sai.</t>
        </is>
      </c>
    </row>
    <row r="13">
      <c r="A13" s="10" t="n">
        <v>10</v>
      </c>
      <c r="B13" s="10" t="inlineStr">
        <is>
          <t>Chưa có gì trong file này được áp dụng vào app. Đây là đề xuất để bạn duyệt.</t>
        </is>
      </c>
    </row>
    <row r="14">
      <c r="A14" s="10" t="n">
        <v>11</v>
      </c>
      <c r="B14" s="10" t="inlineStr">
        <is>
          <t>Nội dung tìm kiếm trên mạng đa phần đến từ tóm tắt công cụ tìm kiếm; các nguồn đã đọc trực tiếp đầy đủ là dữ liệu JSON chính thức của Tencent và trang AppMedia.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2026-10-14T04:11:46Z</dcterms:created>
  <dcterms:modified xmlns:dcterms="http://purl.org/dc/terms/" xmlns:xsi="http://www.w3.org/2001/XMLSchema-instance" xsi:type="dcterms:W3CDTF">2026-10-14T04:11:46Z</dcterms:modified>
</cp:coreProperties>
</file>